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efcd25af2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cf02b19961041f7"/>
    <x:sheet xmlns:r="http://schemas.openxmlformats.org/officeDocument/2006/relationships" name="Summary" sheetId="2" r:id="R32d9686372574824"/>
    <x:sheet xmlns:r="http://schemas.openxmlformats.org/officeDocument/2006/relationships" name="Assumptions" sheetId="3" r:id="Re9a43074d2cf4f50"/>
    <x:sheet xmlns:r="http://schemas.openxmlformats.org/officeDocument/2006/relationships" name="Scenarios" sheetId="4" r:id="R8d7111682ff24b19"/>
    <x:sheet xmlns:r="http://schemas.openxmlformats.org/officeDocument/2006/relationships" name="Model" sheetId="5" r:id="R8343248a48d94e2b"/>
    <x:sheet xmlns:r="http://schemas.openxmlformats.org/officeDocument/2006/relationships" name="Output" sheetId="6" r:id="R87d56db0ad304e9f"/>
    <x:sheet xmlns:r="http://schemas.openxmlformats.org/officeDocument/2006/relationships" name="Sources" sheetId="7" r:id="Ra915d3e2b45d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–"/>
    <x:numFmt numFmtId="201" formatCode="0.0%;(0.0%);–"/>
    <x:numFmt numFmtId="202" formatCode="0.0%"/>
    <x:numFmt numFmtId="203" formatCode="#,##0.0"/>
  </x:numFmts>
  <x:fonts count="12">
    <x:font>
      <x:sz val="11"/>
      <x:name val="Carlito"/>
    </x:font>
    <x:font>
      <x:sz val="10"/>
      <x:color rgb="FF202C38"/>
      <x:name val="Arial"/>
    </x:font>
    <x:font>
      <x:b/>
      <x:sz val="10"/>
      <x:color rgb="FFFFFFFF"/>
      <x:name val="Arial"/>
    </x:font>
    <x:font>
      <x:b/>
      <x:sz val="15"/>
      <x:color rgb="FF16324F"/>
      <x:name val="Arial"/>
    </x:font>
    <x:font>
      <x:b/>
      <x:sz val="10"/>
      <x:color rgb="FF16324F"/>
      <x:name val="Arial"/>
    </x:font>
    <x:font>
      <x:sz val="10"/>
      <x:color rgb="FF24704A"/>
      <x:name val="Arial"/>
    </x:font>
    <x:font>
      <x:b/>
      <x:sz val="10"/>
      <x:color rgb="FF24704A"/>
      <x:name val="Arial"/>
    </x:font>
    <x:font>
      <x:sz val="10"/>
      <x:color rgb="FFB65A22"/>
      <x:name val="Arial"/>
    </x:font>
    <x:font>
      <x:i/>
      <x:sz val="11"/>
      <x:name val="Carlito"/>
    </x:font>
    <x:font>
      <x:b/>
      <x:sz val="12"/>
      <x:color rgb="FFB65A22"/>
      <x:name val="Arial"/>
    </x:font>
    <x:font>
      <x:b/>
      <x:sz val="14"/>
      <x:color rgb="FF16324F"/>
      <x:name val="Arial"/>
    </x:font>
    <x:font>
      <x:b/>
      <x:sz val="16"/>
      <x:color rgb="FF1632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0F6"/>
      </x:patternFill>
    </x:fill>
    <x:fill>
      <x:patternFill patternType="solid">
        <x:fgColor rgb="FFFFF0D9"/>
      </x:patternFill>
    </x:fill>
  </x:fills>
  <x:borders count="2">
    <x:border/>
    <x:border>
      <x:left style="thin">
        <x:color rgb="FF9DB7C9"/>
      </x:left>
    </x:border>
  </x:borders>
  <x:cellStyleXfs count="1">
    <x:xf numFmtId="0" fontId="0" fillId="0" borderId="0"/>
  </x:cellStyleXfs>
  <x:cellXfs count="3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/>
    <x:xf numFmtId="200" fontId="4" fillId="3" borderId="1" xfId="0" applyNumberFormat="1" applyFont="1" applyFill="1" applyBorder="1"/>
    <x:xf numFmtId="200" fontId="0" fillId="0" borderId="1" xfId="0" applyNumberFormat="1" applyFont="1" applyFill="1" applyBorder="1"/>
    <x:xf numFmtId="200" fontId="4" fillId="0" borderId="1" xfId="0" applyNumberFormat="1" applyFont="1" applyFill="1" applyBorder="1"/>
    <x:xf numFmtId="200" fontId="5" fillId="0" borderId="0" xfId="0" applyNumberFormat="1" applyFont="1" applyFill="1" applyBorder="1"/>
    <x:xf numFmtId="200" fontId="6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3" borderId="0" xfId="0" applyNumberFormat="1" applyFont="1" applyFill="1" applyBorder="1"/>
    <x:xf numFmtId="201" fontId="7" fillId="0" borderId="0" xfId="0" applyNumberFormat="1" applyFont="1" applyFill="1" applyBorder="1"/>
    <x:xf numFmtId="202" fontId="0" fillId="0" borderId="0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202" fontId="8" fillId="0" borderId="0" xfId="0" applyNumberFormat="1" applyFont="1" applyFill="1" applyBorder="1"/>
    <x:xf numFmtId="200" fontId="8" fillId="0" borderId="1" xfId="0" applyNumberFormat="1" applyFont="1" applyFill="1" applyBorder="1"/>
    <x:xf numFmtId="200" fontId="7" fillId="0" borderId="0" xfId="0" applyNumberFormat="1" applyFont="1" applyFill="1" applyBorder="1"/>
    <x:xf numFmtId="0" fontId="1" fillId="4" borderId="0" xfId="0" applyNumberFormat="1" applyFont="1" applyFill="1" applyBorder="1"/>
    <x:xf numFmtId="0" fontId="9" fillId="4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5658d5ab44693" /><Relationship Type="http://schemas.openxmlformats.org/officeDocument/2006/relationships/theme" Target="/xl/theme/theme1.xml" Id="R74c308d9a6e94bcd" /><Relationship Type="http://schemas.openxmlformats.org/officeDocument/2006/relationships/sharedStrings" Target="/xl/sharedStrings.xml" Id="R2acf3b6edf87434b" /><Relationship Type="http://schemas.openxmlformats.org/officeDocument/2006/relationships/worksheet" Target="/xl/worksheets/sheet1.xml" Id="R9cf02b19961041f7" /><Relationship Type="http://schemas.openxmlformats.org/officeDocument/2006/relationships/worksheet" Target="/xl/worksheets/sheet2.xml" Id="R32d9686372574824" /><Relationship Type="http://schemas.openxmlformats.org/officeDocument/2006/relationships/worksheet" Target="/xl/worksheets/sheet3.xml" Id="Re9a43074d2cf4f50" /><Relationship Type="http://schemas.openxmlformats.org/officeDocument/2006/relationships/worksheet" Target="/xl/worksheets/sheet4.xml" Id="R8d7111682ff24b19" /><Relationship Type="http://schemas.openxmlformats.org/officeDocument/2006/relationships/worksheet" Target="/xl/worksheets/sheet5.xml" Id="R8343248a48d94e2b" /><Relationship Type="http://schemas.openxmlformats.org/officeDocument/2006/relationships/worksheet" Target="/xl/worksheets/sheet6.xml" Id="R87d56db0ad304e9f" /><Relationship Type="http://schemas.openxmlformats.org/officeDocument/2006/relationships/worksheet" Target="/xl/worksheets/sheet7.xml" Id="Ra915d3e2b45d43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73" hidden="0" customWidth="1"/>
    <x:col min="4" max="4" width="5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2"/>
      <x:c r="C3" s="32" t="str">
        <x:v>The Travelers Companies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 t="str">
        <x:v>P&amp;C operating model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A6" s="2"/>
      <x:c r="B6" s="2"/>
      <x:c r="C6" s="2" t="str">
        <x:v>Fiscal 2020–2025 actuals · 2019 opening · 2026–2030 illustrative forecast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>
      <x:c r="A8" s="2"/>
      <x:c r="B8" s="2"/>
      <x:c r="C8" s="2" t="str">
        <x:v>Information cutoff</x:v>
      </x:c>
      <x:c r="D8" s="2" t="str">
        <x:v>2026-02-12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>
      <x:c r="C9" t="str">
        <x:v>Status</x:v>
      </x:c>
      <x:c r="D9" t="str">
        <x:v>Integrated historical statements; forecast and valuation pending</x:v>
      </x:c>
    </x:row>
    <x:row r="10">
      <x:c r="C10" t="str">
        <x:v>Run ID</x:v>
      </x:c>
      <x:c r="D10" t="str">
        <x:v>452df0503c12</x:v>
      </x:c>
    </x:row>
    <x:row r="11">
      <x:c r="C11" t="str">
        <x:v>Historical detail uses annual-report PDFs and filing dates; selected SEC rows have independent parity checks.</x:v>
      </x:c>
    </x:row>
    <x:row r="12">
      <x:c r="C12" t="str">
        <x:v>2026 forecast is illustrative and excludes the January 2 Canadian disposal.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40" hidden="0" customWidth="1"/>
    <x:col min="4" max="4" width="3" hidden="0" customWidth="1"/>
    <x:col min="5" max="5" width="3" hidden="0" customWidth="1"/>
    <x:col min="6" max="6" width="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2"/>
      <x:c r="C2" s="31" t="str">
        <x:v>Travelers operating history and illustrative outlook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2"/>
      <x:c r="C3" s="2" t="str">
        <x:v>Actuals: 2020–2025 · forecast: 2026–2030 · USD millions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2"/>
      <x:c r="C5" s="2" t="str">
        <x:f>Scenarios!D6</x:f>
        <x:v>Base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>
      <x:c r="A7" s="2"/>
      <x:c r="B7" s="2"/>
      <x:c r="C7" s="2"/>
      <x:c r="D7" s="2"/>
      <x:c r="E7" s="2"/>
      <x:c r="F7" s="2"/>
      <x:c r="G7" s="5" t="n">
        <x:v>2019</x:v>
      </x:c>
      <x:c r="H7" s="5" t="n">
        <x:v>2020</x:v>
      </x:c>
      <x:c r="I7" s="5" t="n">
        <x:v>2021</x:v>
      </x:c>
      <x:c r="J7" s="5" t="n">
        <x:v>2022</x:v>
      </x:c>
      <x:c r="K7" s="5" t="n">
        <x:v>2023</x:v>
      </x:c>
      <x:c r="L7" s="5" t="n">
        <x:v>2024</x:v>
      </x:c>
      <x:c r="M7" s="5" t="n">
        <x:v>2025</x:v>
      </x:c>
      <x:c r="N7" s="5" t="n">
        <x:v>2026</x:v>
      </x:c>
      <x:c r="O7" s="5" t="n">
        <x:v>2027</x:v>
      </x:c>
      <x:c r="P7" s="5" t="n">
        <x:v>2028</x:v>
      </x:c>
      <x:c r="Q7" s="5" t="n">
        <x:v>2029</x:v>
      </x:c>
      <x:c r="R7" s="5" t="n">
        <x:v>2030</x:v>
      </x:c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>
      <x:c r="C9" t="str">
        <x:v>Gross written premiums</x:v>
      </x:c>
      <x:c r="G9" s="1"/>
      <x:c r="H9" s="1" t="n">
        <x:f>Model!H13</x:f>
        <x:v>31763</x:v>
      </x:c>
      <x:c r="I9" s="1" t="n">
        <x:f>Model!I13</x:f>
        <x:v>34244</x:v>
      </x:c>
      <x:c r="J9" s="1" t="n">
        <x:f>Model!J13</x:f>
        <x:v>37876</x:v>
      </x:c>
      <x:c r="K9" s="1" t="n">
        <x:f>Model!K13</x:f>
        <x:v>42972</x:v>
      </x:c>
      <x:c r="L9" s="1" t="n">
        <x:f>Model!L13</x:f>
        <x:v>46550</x:v>
      </x:c>
      <x:c r="M9" s="1" t="n">
        <x:f>Model!M13</x:f>
        <x:v>47730</x:v>
      </x:c>
      <x:c r="N9" s="1" t="n">
        <x:f>Model!N13</x:f>
        <x:v>49639.200000000004</x:v>
      </x:c>
      <x:c r="O9" s="1" t="n">
        <x:f>Model!O13</x:f>
        <x:v>51624.768000000004</x:v>
      </x:c>
      <x:c r="P9" s="1" t="n">
        <x:f>Model!P13</x:f>
        <x:v>53689.758720000005</x:v>
      </x:c>
      <x:c r="Q9" s="1" t="n">
        <x:f>Model!Q13</x:f>
        <x:v>55837.34906880001</x:v>
      </x:c>
      <x:c r="R9" s="1" t="n">
        <x:f>Model!R13</x:f>
        <x:v>58070.84303155201</x:v>
      </x:c>
    </x:row>
    <x:row r="10">
      <x:c r="C10" t="str">
        <x:v>Net written premiums</x:v>
      </x:c>
      <x:c r="G10" s="1"/>
      <x:c r="H10" s="1" t="n">
        <x:f>Model!H15</x:f>
        <x:v>29732</x:v>
      </x:c>
      <x:c r="I10" s="1" t="n">
        <x:f>Model!I15</x:f>
        <x:v>31959</x:v>
      </x:c>
      <x:c r="J10" s="1" t="n">
        <x:f>Model!J15</x:f>
        <x:v>35414</x:v>
      </x:c>
      <x:c r="K10" s="1" t="n">
        <x:f>Model!K15</x:f>
        <x:v>40201</x:v>
      </x:c>
      <x:c r="L10" s="1" t="n">
        <x:f>Model!L15</x:f>
        <x:v>43356</x:v>
      </x:c>
      <x:c r="M10" s="1" t="n">
        <x:f>Model!M15</x:f>
        <x:v>44387</x:v>
      </x:c>
      <x:c r="N10" s="1" t="n">
        <x:f>Model!N15</x:f>
        <x:v>46164.456000000006</x:v>
      </x:c>
      <x:c r="O10" s="1" t="n">
        <x:f>Model!O15</x:f>
        <x:v>48011.03424</x:v>
      </x:c>
      <x:c r="P10" s="1" t="n">
        <x:f>Model!P15</x:f>
        <x:v>49931.475609600006</x:v>
      </x:c>
      <x:c r="Q10" s="1" t="n">
        <x:f>Model!Q15</x:f>
        <x:v>51928.73463398401</x:v>
      </x:c>
      <x:c r="R10" s="1" t="n">
        <x:f>Model!R15</x:f>
        <x:v>54005.88401934337</x:v>
      </x:c>
    </x:row>
    <x:row r="11">
      <x:c r="C11" t="str">
        <x:v>Net earned premiums</x:v>
      </x:c>
      <x:c r="G11" s="1"/>
      <x:c r="H11" s="1" t="n">
        <x:f>Model!H22</x:f>
        <x:v>29044</x:v>
      </x:c>
      <x:c r="I11" s="1" t="n">
        <x:f>Model!I22</x:f>
        <x:v>30855</x:v>
      </x:c>
      <x:c r="J11" s="1" t="n">
        <x:f>Model!J22</x:f>
        <x:v>33763</x:v>
      </x:c>
      <x:c r="K11" s="1" t="n">
        <x:f>Model!K22</x:f>
        <x:v>37761</x:v>
      </x:c>
      <x:c r="L11" s="1" t="n">
        <x:f>Model!L22</x:f>
        <x:v>41941</x:v>
      </x:c>
      <x:c r="M11" s="1" t="n">
        <x:f>Model!M22</x:f>
        <x:v>43914</x:v>
      </x:c>
      <x:c r="N11" s="1" t="n">
        <x:f>Model!N22</x:f>
        <x:v>45615.16168000001</x:v>
      </x:c>
      <x:c r="O11" s="1" t="n">
        <x:f>Model!O22</x:f>
        <x:v>47143.14246720001</x:v>
      </x:c>
      <x:c r="P11" s="1" t="n">
        <x:f>Model!P22</x:f>
        <x:v>49028.868165888</x:v>
      </x:c>
      <x:c r="Q11" s="1" t="n">
        <x:f>Model!Q22</x:f>
        <x:v>50990.02289252353</x:v>
      </x:c>
      <x:c r="R11" s="1" t="n">
        <x:f>Model!R22</x:f>
        <x:v>53029.62380822447</x:v>
      </x:c>
    </x:row>
    <x:row r="12">
      <x:c r="C12" t="str">
        <x:v>Net P&amp;C claims reserves</x:v>
      </x:c>
      <x:c r="G12" s="1" t="n">
        <x:f>Model!G37</x:f>
        <x:v>43801</x:v>
      </x:c>
      <x:c r="H12" s="1" t="n">
        <x:f>Model!H37</x:f>
        <x:v>46357</x:v>
      </x:c>
      <x:c r="I12" s="1" t="n">
        <x:f>Model!I37</x:f>
        <x:v>48688</x:v>
      </x:c>
      <x:c r="J12" s="1" t="n">
        <x:f>Model!J37</x:f>
        <x:v>50853</x:v>
      </x:c>
      <x:c r="K12" s="1" t="n">
        <x:f>Model!K37</x:f>
        <x:v>53804</x:v>
      </x:c>
      <x:c r="L12" s="1" t="n">
        <x:f>Model!L37</x:f>
        <x:v>56419</x:v>
      </x:c>
      <x:c r="M12" s="1" t="n">
        <x:f>Model!M37</x:f>
        <x:v>59846</x:v>
      </x:c>
      <x:c r="N12" s="1" t="n">
        <x:f>Model!N37</x:f>
        <x:v>64181.51615462401</x:v>
      </x:c>
      <x:c r="O12" s="1" t="n">
        <x:f>Model!O37</x:f>
        <x:v>68126.16637004545</x:v>
      </x:c>
      <x:c r="P12" s="1" t="n">
        <x:f>Model!P37</x:f>
        <x:v>71911.80299315936</x:v>
      </x:c>
      <x:c r="Q12" s="1" t="n">
        <x:f>Model!Q37</x:f>
        <x:v>75604.92938848605</x:v>
      </x:c>
      <x:c r="R12" s="1" t="n">
        <x:f>Model!R37</x:f>
        <x:v>79257.95035623772</x:v>
      </x:c>
    </x:row>
    <x:row r="13">
      <x:c r="C13" t="str">
        <x:v>P&amp;C reserve-table incurred</x:v>
      </x:c>
      <x:c r="G13" s="1"/>
      <x:c r="H13" s="1" t="n">
        <x:f>Model!H31</x:f>
        <x:v>19018</x:v>
      </x:c>
      <x:c r="I13" s="1" t="n">
        <x:f>Model!I31</x:f>
        <x:v>20214</x:v>
      </x:c>
      <x:c r="J13" s="1" t="n">
        <x:f>Model!J31</x:f>
        <x:v>22771</x:v>
      </x:c>
      <x:c r="K13" s="1" t="n">
        <x:f>Model!K31</x:f>
        <x:v>26121</x:v>
      </x:c>
      <x:c r="L13" s="1" t="n">
        <x:f>Model!L31</x:f>
        <x:v>26960</x:v>
      </x:c>
      <x:c r="M13" s="1" t="n">
        <x:f>Model!M31</x:f>
        <x:v>27112</x:v>
      </x:c>
      <x:c r="N13" s="1" t="n">
        <x:f>Model!N31</x:f>
        <x:v>28595.243475200008</x:v>
      </x:c>
      <x:c r="O13" s="1" t="n">
        <x:f>Model!O31</x:f>
        <x:v>29529.796017461762</x:v>
      </x:c>
      <x:c r="P13" s="1" t="n">
        <x:f>Model!P31</x:f>
        <x:v>30697.213962467868</x:v>
      </x:c>
      <x:c r="Q13" s="1" t="n">
        <x:f>Model!Q31</x:f>
        <x:v>31914.496621283466</x:v>
      </x:c>
      <x:c r="R13" s="1" t="n">
        <x:f>Model!R31</x:f>
        <x:v>33182.9099433788</x:v>
      </x:c>
    </x:row>
    <x:row r="14">
      <x:c r="C14" t="str">
        <x:v>Illustrative underwriting expense</x:v>
      </x:c>
      <x:c r="G14" s="1"/>
      <x:c r="H14" s="1"/>
      <x:c r="I14" s="1"/>
      <x:c r="J14" s="1"/>
      <x:c r="K14" s="1"/>
      <x:c r="L14" s="1"/>
      <x:c r="M14" s="1"/>
      <x:c r="N14" s="1" t="n">
        <x:f>Model!N56</x:f>
        <x:v>12544.169462000003</x:v>
      </x:c>
      <x:c r="O14" s="1" t="n">
        <x:f>Model!O56</x:f>
        <x:v>12964.364178480002</x:v>
      </x:c>
      <x:c r="P14" s="1" t="n">
        <x:f>Model!P56</x:f>
        <x:v>13482.938745619202</x:v>
      </x:c>
      <x:c r="Q14" s="1" t="n">
        <x:f>Model!Q56</x:f>
        <x:v>14022.25629544397</x:v>
      </x:c>
      <x:c r="R14" s="1" t="n">
        <x:f>Model!R56</x:f>
        <x:v>14583.14654726173</x:v>
      </x:c>
    </x:row>
    <x:row r="15">
      <x:c r="C15" t="str">
        <x:v>Illustrative combined ratio</x:v>
      </x:c>
      <x:c r="G15" s="1"/>
      <x:c r="H15" s="1"/>
      <x:c r="I15" s="1"/>
      <x:c r="J15" s="1"/>
      <x:c r="K15" s="1"/>
      <x:c r="L15" s="1"/>
      <x:c r="M15" s="1"/>
      <x:c r="N15" s="23" t="n">
        <x:f>(Model!N31+Model!N56)/Model!N22</x:f>
        <x:v>0.9018802394213064</x:v>
      </x:c>
      <x:c r="O15" s="23" t="n">
        <x:f>(Model!O31+Model!O56)/Model!O22</x:f>
        <x:v>0.9013858213950674</x:v>
      </x:c>
      <x:c r="P15" s="23" t="n">
        <x:f>(Model!P31+Model!P56)/Model!P22</x:f>
        <x:v>0.901104886994425</x:v>
      </x:c>
      <x:c r="Q15" s="23" t="n">
        <x:f>(Model!Q31+Model!Q56)/Model!Q22</x:f>
        <x:v>0.900896887486257</x:v>
      </x:c>
      <x:c r="R15" s="23" t="n">
        <x:f>(Model!R31+Model!R56)/Model!R22</x:f>
        <x:v>0.9007428878504018</x:v>
      </x:c>
    </x:row>
    <x:row r="16">
      <x:c r="C16" t="str">
        <x:v>Total investments</x:v>
      </x:c>
      <x:c r="G16" s="1" t="n">
        <x:f>Model!G65</x:f>
        <x:v>77884</x:v>
      </x:c>
      <x:c r="H16" s="1" t="n">
        <x:f>Model!H65</x:f>
        <x:v>84423</x:v>
      </x:c>
      <x:c r="I16" s="1" t="n">
        <x:f>Model!I65</x:f>
        <x:v>87375</x:v>
      </x:c>
      <x:c r="J16" s="1" t="n">
        <x:f>Model!J65</x:f>
        <x:v>80454</x:v>
      </x:c>
      <x:c r="K16" s="1" t="n">
        <x:f>Model!K65</x:f>
        <x:v>88810</x:v>
      </x:c>
      <x:c r="L16" s="1" t="n">
        <x:f>Model!L65</x:f>
        <x:v>94223</x:v>
      </x:c>
      <x:c r="M16" s="1" t="n">
        <x:f>Model!M65</x:f>
        <x:v>101182</x:v>
      </x:c>
      <x:c r="N16" s="1"/>
      <x:c r="O16" s="1"/>
      <x:c r="P16" s="1"/>
      <x:c r="Q16" s="1"/>
      <x:c r="R16" s="1"/>
    </x:row>
    <x:row r="17">
      <x:c r="C17" t="str">
        <x:v>Net investment income</x:v>
      </x:c>
      <x:c r="G17" s="1"/>
      <x:c r="H17" s="1" t="n">
        <x:f>Model!H70</x:f>
        <x:v>2227</x:v>
      </x:c>
      <x:c r="I17" s="1" t="n">
        <x:f>Model!I70</x:f>
        <x:v>3033</x:v>
      </x:c>
      <x:c r="J17" s="1" t="n">
        <x:f>Model!J70</x:f>
        <x:v>2562</x:v>
      </x:c>
      <x:c r="K17" s="1" t="n">
        <x:f>Model!K70</x:f>
        <x:v>2922</x:v>
      </x:c>
      <x:c r="L17" s="1" t="n">
        <x:f>Model!L70</x:f>
        <x:v>3590</x:v>
      </x:c>
      <x:c r="M17" s="1" t="n">
        <x:f>Model!M70</x:f>
        <x:v>3959</x:v>
      </x:c>
      <x:c r="N17" s="1"/>
      <x:c r="O17" s="1"/>
      <x:c r="P17" s="1"/>
      <x:c r="Q17" s="1"/>
      <x:c r="R17" s="1"/>
    </x:row>
    <x:row r="18">
      <x:c r="C18" t="str">
        <x:v>Common equity</x:v>
      </x:c>
      <x:c r="G18" s="1" t="n">
        <x:f>Model!G86</x:f>
        <x:v>25943</x:v>
      </x:c>
      <x:c r="H18" s="1" t="n">
        <x:f>Model!H86</x:f>
        <x:v>29201</x:v>
      </x:c>
      <x:c r="I18" s="1" t="n">
        <x:f>Model!I86</x:f>
        <x:v>28887</x:v>
      </x:c>
      <x:c r="J18" s="1" t="n">
        <x:f>Model!J86</x:f>
        <x:v>21560</x:v>
      </x:c>
      <x:c r="K18" s="1" t="n">
        <x:f>Model!K86</x:f>
        <x:v>24921</x:v>
      </x:c>
      <x:c r="L18" s="1" t="n">
        <x:f>Model!L86</x:f>
        <x:v>27864</x:v>
      </x:c>
      <x:c r="M18" s="1" t="n">
        <x:f>Model!M86</x:f>
        <x:v>32894</x:v>
      </x:c>
      <x:c r="N18" s="1"/>
      <x:c r="O18" s="1"/>
      <x:c r="P18" s="1"/>
      <x:c r="Q18" s="1"/>
      <x:c r="R18" s="1"/>
    </x:row>
    <x:row r="19">
      <x:c r="C19" t="str">
        <x:v>Net income</x:v>
      </x:c>
      <x:c r="G19" s="1"/>
      <x:c r="H19" s="1" t="n">
        <x:f>Model!H77</x:f>
        <x:v>2697</x:v>
      </x:c>
      <x:c r="I19" s="1" t="n">
        <x:f>Model!I77</x:f>
        <x:v>3662</x:v>
      </x:c>
      <x:c r="J19" s="1" t="n">
        <x:f>Model!J77</x:f>
        <x:v>2842</x:v>
      </x:c>
      <x:c r="K19" s="1" t="n">
        <x:f>Model!K77</x:f>
        <x:v>2991</x:v>
      </x:c>
      <x:c r="L19" s="1" t="n">
        <x:f>Model!L77</x:f>
        <x:v>4999</x:v>
      </x:c>
      <x:c r="M19" s="1" t="n">
        <x:f>Model!M77</x:f>
        <x:v>6288</x:v>
      </x:c>
      <x:c r="N19" s="1"/>
      <x:c r="O19" s="1"/>
      <x:c r="P19" s="1"/>
      <x:c r="Q19" s="1"/>
      <x:c r="R19" s="1"/>
    </x:row>
    <x:row r="20">
      <x:c r="C20" t="str">
        <x:v>Closing cash</x:v>
      </x:c>
      <x:c r="G20" s="1" t="n">
        <x:f>Model!G101</x:f>
        <x:v>494</x:v>
      </x:c>
      <x:c r="H20" s="1" t="n">
        <x:f>Model!H101</x:f>
        <x:v>721</x:v>
      </x:c>
      <x:c r="I20" s="1" t="n">
        <x:f>Model!I101</x:f>
        <x:v>761</x:v>
      </x:c>
      <x:c r="J20" s="1" t="n">
        <x:f>Model!J101</x:f>
        <x:v>799</x:v>
      </x:c>
      <x:c r="K20" s="1" t="n">
        <x:f>Model!K101</x:f>
        <x:v>650</x:v>
      </x:c>
      <x:c r="L20" s="1" t="n">
        <x:f>Model!L101</x:f>
        <x:v>699</x:v>
      </x:c>
      <x:c r="M20" s="1" t="n">
        <x:f>Model!M101</x:f>
        <x:v>842</x:v>
      </x:c>
      <x:c r="N20" s="1"/>
      <x:c r="O20" s="1"/>
      <x:c r="P20" s="1"/>
      <x:c r="Q20" s="1"/>
      <x:c r="R20" s="1"/>
    </x:row>
    <x:row r="23">
      <x:c r="C23" t="str">
        <x:v>Illustrative forecast excludes the January 2026 Canadian sale; investment income, equity, cash and valuation remain unmodeled.</x:v>
      </x:c>
    </x:row>
    <x:row r="25">
      <x:c r="C25" s="11" t="str">
        <x:v>Master Check</x:v>
      </x:c>
      <x:c r="D25" s="11"/>
      <x:c r="E25" s="11"/>
      <x:c r="F25" s="11"/>
      <x:c r="G25" s="11"/>
      <x:c r="H25" s="11"/>
      <x:c r="I25" s="11"/>
      <x:c r="J25" s="11"/>
      <x:c r="K25" s="11"/>
      <x:c r="L25" s="11"/>
      <x:c r="M25" s="11" t="str">
        <x:f>IF(SUM(ABS(Model!H25),ABS(Model!I25),ABS(Model!J25),ABS(Model!K25),ABS(Model!L25),ABS(Model!M25),ABS(Model!H53),ABS(Model!I53),ABS(Model!J53),ABS(Model!K53),ABS(Model!L53),ABS(Model!M53),ABS(Model!H69),ABS(Model!I69),ABS(Model!J69),ABS(Model!K69),ABS(Model!L69),ABS(Model!M69),ABS(Model!H95),ABS(Model!I95),ABS(Model!J95),ABS(Model!K95),ABS(Model!L95),ABS(Model!M95))&gt;0.01,"OPEN: historical stock bridges","PASS")</x:f>
        <x:v>OPEN: historical stock bridges</x:v>
      </x:c>
    </x:row>
  </x:sheetData>
  <x:conditionalFormatting sqref="M25:M25">
    <x:cfRule type="containsText" dxfId="0" priority="1" operator="containsText" text="OPE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42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2"/>
      <x:c r="C2" s="2" t="str">
        <x:v>Illustrative P&amp;C forecast drivers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2"/>
      <x:c r="C3" s="2" t="str">
        <x:v>Analyst scenarios; not Travelers guidance or a valuation forecast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2"/>
      <x:c r="C5" s="2" t="str">
        <x:f>Scenarios!D6</x:f>
        <x:v>Base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5" t="n">
        <x:v>2026</x:v>
      </x:c>
      <x:c r="O7" s="5" t="n">
        <x:v>2027</x:v>
      </x:c>
      <x:c r="P7" s="5" t="n">
        <x:v>2028</x:v>
      </x:c>
      <x:c r="Q7" s="5" t="n">
        <x:v>2029</x:v>
      </x:c>
      <x:c r="R7" s="5" t="n">
        <x:v>2030</x:v>
      </x:c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>
      <x:c r="C9" s="7" t="str">
        <x:v>GWP growth</x:v>
      </x:c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21" t="n">
        <x:f>IF(Scenarios!$D$6="Base",N10,IF(Scenarios!$D$6="Upside",N11,N12))</x:f>
        <x:v>0.04</x:v>
      </x:c>
      <x:c r="O9" s="21" t="n">
        <x:f>IF(Scenarios!$D$6="Base",O10,IF(Scenarios!$D$6="Upside",O11,O12))</x:f>
        <x:v>0.04</x:v>
      </x:c>
      <x:c r="P9" s="21" t="n">
        <x:f>IF(Scenarios!$D$6="Base",P10,IF(Scenarios!$D$6="Upside",P11,P12))</x:f>
        <x:v>0.04</x:v>
      </x:c>
      <x:c r="Q9" s="21" t="n">
        <x:f>IF(Scenarios!$D$6="Base",Q10,IF(Scenarios!$D$6="Upside",Q11,Q12))</x:f>
        <x:v>0.04</x:v>
      </x:c>
      <x:c r="R9" s="21" t="n">
        <x:f>IF(Scenarios!$D$6="Base",R10,IF(Scenarios!$D$6="Upside",R11,R12))</x:f>
        <x:v>0.04</x:v>
      </x:c>
    </x:row>
    <x:row r="10">
      <x:c r="C10" t="str">
        <x:v>Base</x:v>
      </x:c>
      <x:c r="N10" s="22" t="n">
        <x:v>0.04</x:v>
      </x:c>
      <x:c r="O10" s="22" t="n">
        <x:v>0.04</x:v>
      </x:c>
      <x:c r="P10" s="22" t="n">
        <x:v>0.04</x:v>
      </x:c>
      <x:c r="Q10" s="22" t="n">
        <x:v>0.04</x:v>
      </x:c>
      <x:c r="R10" s="22" t="n">
        <x:v>0.04</x:v>
      </x:c>
    </x:row>
    <x:row r="11">
      <x:c r="C11" t="str">
        <x:v>Upside</x:v>
      </x:c>
      <x:c r="N11" s="22" t="n">
        <x:v>0.07</x:v>
      </x:c>
      <x:c r="O11" s="22" t="n">
        <x:v>0.07</x:v>
      </x:c>
      <x:c r="P11" s="22" t="n">
        <x:v>0.07</x:v>
      </x:c>
      <x:c r="Q11" s="22" t="n">
        <x:v>0.07</x:v>
      </x:c>
      <x:c r="R11" s="22" t="n">
        <x:v>0.07</x:v>
      </x:c>
    </x:row>
    <x:row r="12">
      <x:c r="C12" t="str">
        <x:v>Downside</x:v>
      </x:c>
      <x:c r="N12" s="22" t="n">
        <x:v>0.01</x:v>
      </x:c>
      <x:c r="O12" s="22" t="n">
        <x:v>0.01</x:v>
      </x:c>
      <x:c r="P12" s="22" t="n">
        <x:v>0.01</x:v>
      </x:c>
      <x:c r="Q12" s="22" t="n">
        <x:v>0.01</x:v>
      </x:c>
      <x:c r="R12" s="22" t="n">
        <x:v>0.01</x:v>
      </x:c>
    </x:row>
    <x:row r="14">
      <x:c r="C14" s="7" t="str">
        <x:v>Ceded written / GWP</x:v>
      </x:c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21" t="n">
        <x:f>IF(Scenarios!$D$6="Base",N15,IF(Scenarios!$D$6="Upside",N16,N17))</x:f>
        <x:v>0.07</x:v>
      </x:c>
      <x:c r="O14" s="21" t="n">
        <x:f>IF(Scenarios!$D$6="Base",O15,IF(Scenarios!$D$6="Upside",O16,O17))</x:f>
        <x:v>0.07</x:v>
      </x:c>
      <x:c r="P14" s="21" t="n">
        <x:f>IF(Scenarios!$D$6="Base",P15,IF(Scenarios!$D$6="Upside",P16,P17))</x:f>
        <x:v>0.07</x:v>
      </x:c>
      <x:c r="Q14" s="21" t="n">
        <x:f>IF(Scenarios!$D$6="Base",Q15,IF(Scenarios!$D$6="Upside",Q16,Q17))</x:f>
        <x:v>0.07</x:v>
      </x:c>
      <x:c r="R14" s="21" t="n">
        <x:f>IF(Scenarios!$D$6="Base",R15,IF(Scenarios!$D$6="Upside",R16,R17))</x:f>
        <x:v>0.07</x:v>
      </x:c>
    </x:row>
    <x:row r="15">
      <x:c r="C15" t="str">
        <x:v>Base</x:v>
      </x:c>
      <x:c r="N15" s="22" t="n">
        <x:v>0.07</x:v>
      </x:c>
      <x:c r="O15" s="22" t="n">
        <x:v>0.07</x:v>
      </x:c>
      <x:c r="P15" s="22" t="n">
        <x:v>0.07</x:v>
      </x:c>
      <x:c r="Q15" s="22" t="n">
        <x:v>0.07</x:v>
      </x:c>
      <x:c r="R15" s="22" t="n">
        <x:v>0.07</x:v>
      </x:c>
    </x:row>
    <x:row r="16">
      <x:c r="C16" t="str">
        <x:v>Upside</x:v>
      </x:c>
      <x:c r="N16" s="22" t="n">
        <x:v>0.06</x:v>
      </x:c>
      <x:c r="O16" s="22" t="n">
        <x:v>0.06</x:v>
      </x:c>
      <x:c r="P16" s="22" t="n">
        <x:v>0.06</x:v>
      </x:c>
      <x:c r="Q16" s="22" t="n">
        <x:v>0.06</x:v>
      </x:c>
      <x:c r="R16" s="22" t="n">
        <x:v>0.06</x:v>
      </x:c>
    </x:row>
    <x:row r="17">
      <x:c r="C17" t="str">
        <x:v>Downside</x:v>
      </x:c>
      <x:c r="N17" s="22" t="n">
        <x:v>0.09</x:v>
      </x:c>
      <x:c r="O17" s="22" t="n">
        <x:v>0.09</x:v>
      </x:c>
      <x:c r="P17" s="22" t="n">
        <x:v>0.09</x:v>
      </x:c>
      <x:c r="Q17" s="22" t="n">
        <x:v>0.09</x:v>
      </x:c>
      <x:c r="R17" s="22" t="n">
        <x:v>0.09</x:v>
      </x:c>
    </x:row>
    <x:row r="19">
      <x:c r="C19" s="7" t="str">
        <x:v>Closing gross UPR / GWP</x:v>
      </x:c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21" t="n">
        <x:f>IF(Scenarios!$D$6="Base",N20,IF(Scenarios!$D$6="Upside",N21,N22))</x:f>
        <x:v>0.47</x:v>
      </x:c>
      <x:c r="O19" s="21" t="n">
        <x:f>IF(Scenarios!$D$6="Base",O20,IF(Scenarios!$D$6="Upside",O21,O22))</x:f>
        <x:v>0.47</x:v>
      </x:c>
      <x:c r="P19" s="21" t="n">
        <x:f>IF(Scenarios!$D$6="Base",P20,IF(Scenarios!$D$6="Upside",P21,P22))</x:f>
        <x:v>0.47</x:v>
      </x:c>
      <x:c r="Q19" s="21" t="n">
        <x:f>IF(Scenarios!$D$6="Base",Q20,IF(Scenarios!$D$6="Upside",Q21,Q22))</x:f>
        <x:v>0.47</x:v>
      </x:c>
      <x:c r="R19" s="21" t="n">
        <x:f>IF(Scenarios!$D$6="Base",R20,IF(Scenarios!$D$6="Upside",R21,R22))</x:f>
        <x:v>0.47</x:v>
      </x:c>
    </x:row>
    <x:row r="20">
      <x:c r="C20" t="str">
        <x:v>Base</x:v>
      </x:c>
      <x:c r="N20" s="22" t="n">
        <x:v>0.47</x:v>
      </x:c>
      <x:c r="O20" s="22" t="n">
        <x:v>0.47</x:v>
      </x:c>
      <x:c r="P20" s="22" t="n">
        <x:v>0.47</x:v>
      </x:c>
      <x:c r="Q20" s="22" t="n">
        <x:v>0.47</x:v>
      </x:c>
      <x:c r="R20" s="22" t="n">
        <x:v>0.47</x:v>
      </x:c>
    </x:row>
    <x:row r="21">
      <x:c r="C21" t="str">
        <x:v>Upside</x:v>
      </x:c>
      <x:c r="N21" s="22" t="n">
        <x:v>0.46</x:v>
      </x:c>
      <x:c r="O21" s="22" t="n">
        <x:v>0.46</x:v>
      </x:c>
      <x:c r="P21" s="22" t="n">
        <x:v>0.46</x:v>
      </x:c>
      <x:c r="Q21" s="22" t="n">
        <x:v>0.46</x:v>
      </x:c>
      <x:c r="R21" s="22" t="n">
        <x:v>0.46</x:v>
      </x:c>
    </x:row>
    <x:row r="22">
      <x:c r="C22" t="str">
        <x:v>Downside</x:v>
      </x:c>
      <x:c r="N22" s="22" t="n">
        <x:v>0.49</x:v>
      </x:c>
      <x:c r="O22" s="22" t="n">
        <x:v>0.49</x:v>
      </x:c>
      <x:c r="P22" s="22" t="n">
        <x:v>0.49</x:v>
      </x:c>
      <x:c r="Q22" s="22" t="n">
        <x:v>0.49</x:v>
      </x:c>
      <x:c r="R22" s="22" t="n">
        <x:v>0.49</x:v>
      </x:c>
    </x:row>
    <x:row r="24">
      <x:c r="C24" s="7" t="str">
        <x:v>Current accident-year attritional loss / NEP</x:v>
      </x:c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21" t="n">
        <x:f>IF(Scenarios!$D$6="Base",N25,IF(Scenarios!$D$6="Upside",N26,N27))</x:f>
        <x:v>0.59</x:v>
      </x:c>
      <x:c r="O24" s="21" t="n">
        <x:f>IF(Scenarios!$D$6="Base",O25,IF(Scenarios!$D$6="Upside",O26,O27))</x:f>
        <x:v>0.59</x:v>
      </x:c>
      <x:c r="P24" s="21" t="n">
        <x:f>IF(Scenarios!$D$6="Base",P25,IF(Scenarios!$D$6="Upside",P26,P27))</x:f>
        <x:v>0.59</x:v>
      </x:c>
      <x:c r="Q24" s="21" t="n">
        <x:f>IF(Scenarios!$D$6="Base",Q25,IF(Scenarios!$D$6="Upside",Q26,Q27))</x:f>
        <x:v>0.59</x:v>
      </x:c>
      <x:c r="R24" s="21" t="n">
        <x:f>IF(Scenarios!$D$6="Base",R25,IF(Scenarios!$D$6="Upside",R26,R27))</x:f>
        <x:v>0.59</x:v>
      </x:c>
    </x:row>
    <x:row r="25">
      <x:c r="C25" t="str">
        <x:v>Base</x:v>
      </x:c>
      <x:c r="N25" s="22" t="n">
        <x:v>0.59</x:v>
      </x:c>
      <x:c r="O25" s="22" t="n">
        <x:v>0.59</x:v>
      </x:c>
      <x:c r="P25" s="22" t="n">
        <x:v>0.59</x:v>
      </x:c>
      <x:c r="Q25" s="22" t="n">
        <x:v>0.59</x:v>
      </x:c>
      <x:c r="R25" s="22" t="n">
        <x:v>0.59</x:v>
      </x:c>
    </x:row>
    <x:row r="26">
      <x:c r="C26" t="str">
        <x:v>Upside</x:v>
      </x:c>
      <x:c r="N26" s="22" t="n">
        <x:v>0.55</x:v>
      </x:c>
      <x:c r="O26" s="22" t="n">
        <x:v>0.55</x:v>
      </x:c>
      <x:c r="P26" s="22" t="n">
        <x:v>0.55</x:v>
      </x:c>
      <x:c r="Q26" s="22" t="n">
        <x:v>0.55</x:v>
      </x:c>
      <x:c r="R26" s="22" t="n">
        <x:v>0.55</x:v>
      </x:c>
    </x:row>
    <x:row r="27">
      <x:c r="C27" t="str">
        <x:v>Downside</x:v>
      </x:c>
      <x:c r="N27" s="22" t="n">
        <x:v>0.64</x:v>
      </x:c>
      <x:c r="O27" s="22" t="n">
        <x:v>0.64</x:v>
      </x:c>
      <x:c r="P27" s="22" t="n">
        <x:v>0.64</x:v>
      </x:c>
      <x:c r="Q27" s="22" t="n">
        <x:v>0.64</x:v>
      </x:c>
      <x:c r="R27" s="22" t="n">
        <x:v>0.64</x:v>
      </x:c>
    </x:row>
    <x:row r="29">
      <x:c r="C29" s="7" t="str">
        <x:v>Current accident-year catastrophe loss / NEP</x:v>
      </x:c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21" t="n">
        <x:f>IF(Scenarios!$D$6="Base",N30,IF(Scenarios!$D$6="Upside",N31,N32))</x:f>
        <x:v>0.05</x:v>
      </x:c>
      <x:c r="O29" s="21" t="n">
        <x:f>IF(Scenarios!$D$6="Base",O30,IF(Scenarios!$D$6="Upside",O31,O32))</x:f>
        <x:v>0.05</x:v>
      </x:c>
      <x:c r="P29" s="21" t="n">
        <x:f>IF(Scenarios!$D$6="Base",P30,IF(Scenarios!$D$6="Upside",P31,P32))</x:f>
        <x:v>0.05</x:v>
      </x:c>
      <x:c r="Q29" s="21" t="n">
        <x:f>IF(Scenarios!$D$6="Base",Q30,IF(Scenarios!$D$6="Upside",Q31,Q32))</x:f>
        <x:v>0.05</x:v>
      </x:c>
      <x:c r="R29" s="21" t="n">
        <x:f>IF(Scenarios!$D$6="Base",R30,IF(Scenarios!$D$6="Upside",R31,R32))</x:f>
        <x:v>0.05</x:v>
      </x:c>
    </x:row>
    <x:row r="30">
      <x:c r="C30" t="str">
        <x:v>Base</x:v>
      </x:c>
      <x:c r="N30" s="22" t="n">
        <x:v>0.05</x:v>
      </x:c>
      <x:c r="O30" s="22" t="n">
        <x:v>0.05</x:v>
      </x:c>
      <x:c r="P30" s="22" t="n">
        <x:v>0.05</x:v>
      </x:c>
      <x:c r="Q30" s="22" t="n">
        <x:v>0.05</x:v>
      </x:c>
      <x:c r="R30" s="22" t="n">
        <x:v>0.05</x:v>
      </x:c>
    </x:row>
    <x:row r="31">
      <x:c r="C31" t="str">
        <x:v>Upside</x:v>
      </x:c>
      <x:c r="N31" s="22" t="n">
        <x:v>0.035</x:v>
      </x:c>
      <x:c r="O31" s="22" t="n">
        <x:v>0.035</x:v>
      </x:c>
      <x:c r="P31" s="22" t="n">
        <x:v>0.035</x:v>
      </x:c>
      <x:c r="Q31" s="22" t="n">
        <x:v>0.035</x:v>
      </x:c>
      <x:c r="R31" s="22" t="n">
        <x:v>0.035</x:v>
      </x:c>
    </x:row>
    <x:row r="32">
      <x:c r="C32" t="str">
        <x:v>Downside</x:v>
      </x:c>
      <x:c r="N32" s="22" t="n">
        <x:v>0.075</x:v>
      </x:c>
      <x:c r="O32" s="22" t="n">
        <x:v>0.075</x:v>
      </x:c>
      <x:c r="P32" s="22" t="n">
        <x:v>0.075</x:v>
      </x:c>
      <x:c r="Q32" s="22" t="n">
        <x:v>0.075</x:v>
      </x:c>
      <x:c r="R32" s="22" t="n">
        <x:v>0.075</x:v>
      </x:c>
    </x:row>
    <x:row r="34">
      <x:c r="C34" s="7" t="str">
        <x:v>Prior-year incurred / opening net reserves</x:v>
      </x:c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21" t="n">
        <x:f>IF(Scenarios!$D$6="Base",N35,IF(Scenarios!$D$6="Upside",N36,N37))</x:f>
        <x:v>-0.01</x:v>
      </x:c>
      <x:c r="O34" s="21" t="n">
        <x:f>IF(Scenarios!$D$6="Base",O35,IF(Scenarios!$D$6="Upside",O36,O37))</x:f>
        <x:v>-0.01</x:v>
      </x:c>
      <x:c r="P34" s="21" t="n">
        <x:f>IF(Scenarios!$D$6="Base",P35,IF(Scenarios!$D$6="Upside",P36,P37))</x:f>
        <x:v>-0.01</x:v>
      </x:c>
      <x:c r="Q34" s="21" t="n">
        <x:f>IF(Scenarios!$D$6="Base",Q35,IF(Scenarios!$D$6="Upside",Q36,Q37))</x:f>
        <x:v>-0.01</x:v>
      </x:c>
      <x:c r="R34" s="21" t="n">
        <x:f>IF(Scenarios!$D$6="Base",R35,IF(Scenarios!$D$6="Upside",R36,R37))</x:f>
        <x:v>-0.01</x:v>
      </x:c>
    </x:row>
    <x:row r="35">
      <x:c r="C35" t="str">
        <x:v>Base</x:v>
      </x:c>
      <x:c r="N35" s="22" t="n">
        <x:v>-0.01</x:v>
      </x:c>
      <x:c r="O35" s="22" t="n">
        <x:v>-0.01</x:v>
      </x:c>
      <x:c r="P35" s="22" t="n">
        <x:v>-0.01</x:v>
      </x:c>
      <x:c r="Q35" s="22" t="n">
        <x:v>-0.01</x:v>
      </x:c>
      <x:c r="R35" s="22" t="n">
        <x:v>-0.01</x:v>
      </x:c>
    </x:row>
    <x:row r="36">
      <x:c r="C36" t="str">
        <x:v>Upside</x:v>
      </x:c>
      <x:c r="N36" s="22" t="n">
        <x:v>-0.02</x:v>
      </x:c>
      <x:c r="O36" s="22" t="n">
        <x:v>-0.02</x:v>
      </x:c>
      <x:c r="P36" s="22" t="n">
        <x:v>-0.02</x:v>
      </x:c>
      <x:c r="Q36" s="22" t="n">
        <x:v>-0.02</x:v>
      </x:c>
      <x:c r="R36" s="22" t="n">
        <x:v>-0.02</x:v>
      </x:c>
    </x:row>
    <x:row r="37">
      <x:c r="C37" t="str">
        <x:v>Downside</x:v>
      </x:c>
      <x:c r="N37" s="22" t="n">
        <x:v>0.01</x:v>
      </x:c>
      <x:c r="O37" s="22" t="n">
        <x:v>0.01</x:v>
      </x:c>
      <x:c r="P37" s="22" t="n">
        <x:v>0.01</x:v>
      </x:c>
      <x:c r="Q37" s="22" t="n">
        <x:v>0.01</x:v>
      </x:c>
      <x:c r="R37" s="22" t="n">
        <x:v>0.01</x:v>
      </x:c>
    </x:row>
    <x:row r="39">
      <x:c r="C39" s="7" t="str">
        <x:v>Current accident-year paid / incurred</x:v>
      </x:c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21" t="n">
        <x:f>IF(Scenarios!$D$6="Base",N40,IF(Scenarios!$D$6="Upside",N41,N42))</x:f>
        <x:v>0.38</x:v>
      </x:c>
      <x:c r="O39" s="21" t="n">
        <x:f>IF(Scenarios!$D$6="Base",O40,IF(Scenarios!$D$6="Upside",O41,O42))</x:f>
        <x:v>0.38</x:v>
      </x:c>
      <x:c r="P39" s="21" t="n">
        <x:f>IF(Scenarios!$D$6="Base",P40,IF(Scenarios!$D$6="Upside",P41,P42))</x:f>
        <x:v>0.38</x:v>
      </x:c>
      <x:c r="Q39" s="21" t="n">
        <x:f>IF(Scenarios!$D$6="Base",Q40,IF(Scenarios!$D$6="Upside",Q41,Q42))</x:f>
        <x:v>0.38</x:v>
      </x:c>
      <x:c r="R39" s="21" t="n">
        <x:f>IF(Scenarios!$D$6="Base",R40,IF(Scenarios!$D$6="Upside",R41,R42))</x:f>
        <x:v>0.38</x:v>
      </x:c>
    </x:row>
    <x:row r="40">
      <x:c r="C40" t="str">
        <x:v>Base</x:v>
      </x:c>
      <x:c r="N40" s="22" t="n">
        <x:v>0.38</x:v>
      </x:c>
      <x:c r="O40" s="22" t="n">
        <x:v>0.38</x:v>
      </x:c>
      <x:c r="P40" s="22" t="n">
        <x:v>0.38</x:v>
      </x:c>
      <x:c r="Q40" s="22" t="n">
        <x:v>0.38</x:v>
      </x:c>
      <x:c r="R40" s="22" t="n">
        <x:v>0.38</x:v>
      </x:c>
    </x:row>
    <x:row r="41">
      <x:c r="C41" t="str">
        <x:v>Upside</x:v>
      </x:c>
      <x:c r="N41" s="22" t="n">
        <x:v>0.37</x:v>
      </x:c>
      <x:c r="O41" s="22" t="n">
        <x:v>0.37</x:v>
      </x:c>
      <x:c r="P41" s="22" t="n">
        <x:v>0.37</x:v>
      </x:c>
      <x:c r="Q41" s="22" t="n">
        <x:v>0.37</x:v>
      </x:c>
      <x:c r="R41" s="22" t="n">
        <x:v>0.37</x:v>
      </x:c>
    </x:row>
    <x:row r="42">
      <x:c r="C42" t="str">
        <x:v>Downside</x:v>
      </x:c>
      <x:c r="N42" s="22" t="n">
        <x:v>0.4</x:v>
      </x:c>
      <x:c r="O42" s="22" t="n">
        <x:v>0.4</x:v>
      </x:c>
      <x:c r="P42" s="22" t="n">
        <x:v>0.4</x:v>
      </x:c>
      <x:c r="Q42" s="22" t="n">
        <x:v>0.4</x:v>
      </x:c>
      <x:c r="R42" s="22" t="n">
        <x:v>0.4</x:v>
      </x:c>
    </x:row>
    <x:row r="44">
      <x:c r="C44" s="7" t="str">
        <x:v>Prior accident-year paid / opening net reserves</x:v>
      </x:c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21" t="n">
        <x:f>IF(Scenarios!$D$6="Base",N45,IF(Scenarios!$D$6="Upside",N46,N47))</x:f>
        <x:v>0.22</x:v>
      </x:c>
      <x:c r="O44" s="21" t="n">
        <x:f>IF(Scenarios!$D$6="Base",O45,IF(Scenarios!$D$6="Upside",O46,O47))</x:f>
        <x:v>0.22</x:v>
      </x:c>
      <x:c r="P44" s="21" t="n">
        <x:f>IF(Scenarios!$D$6="Base",P45,IF(Scenarios!$D$6="Upside",P46,P47))</x:f>
        <x:v>0.22</x:v>
      </x:c>
      <x:c r="Q44" s="21" t="n">
        <x:f>IF(Scenarios!$D$6="Base",Q45,IF(Scenarios!$D$6="Upside",Q46,Q47))</x:f>
        <x:v>0.22</x:v>
      </x:c>
      <x:c r="R44" s="21" t="n">
        <x:f>IF(Scenarios!$D$6="Base",R45,IF(Scenarios!$D$6="Upside",R46,R47))</x:f>
        <x:v>0.22</x:v>
      </x:c>
    </x:row>
    <x:row r="45">
      <x:c r="C45" t="str">
        <x:v>Base</x:v>
      </x:c>
      <x:c r="N45" s="22" t="n">
        <x:v>0.22</x:v>
      </x:c>
      <x:c r="O45" s="22" t="n">
        <x:v>0.22</x:v>
      </x:c>
      <x:c r="P45" s="22" t="n">
        <x:v>0.22</x:v>
      </x:c>
      <x:c r="Q45" s="22" t="n">
        <x:v>0.22</x:v>
      </x:c>
      <x:c r="R45" s="22" t="n">
        <x:v>0.22</x:v>
      </x:c>
    </x:row>
    <x:row r="46">
      <x:c r="C46" t="str">
        <x:v>Upside</x:v>
      </x:c>
      <x:c r="N46" s="22" t="n">
        <x:v>0.21</x:v>
      </x:c>
      <x:c r="O46" s="22" t="n">
        <x:v>0.21</x:v>
      </x:c>
      <x:c r="P46" s="22" t="n">
        <x:v>0.21</x:v>
      </x:c>
      <x:c r="Q46" s="22" t="n">
        <x:v>0.21</x:v>
      </x:c>
      <x:c r="R46" s="22" t="n">
        <x:v>0.21</x:v>
      </x:c>
    </x:row>
    <x:row r="47">
      <x:c r="C47" t="str">
        <x:v>Downside</x:v>
      </x:c>
      <x:c r="N47" s="22" t="n">
        <x:v>0.23</x:v>
      </x:c>
      <x:c r="O47" s="22" t="n">
        <x:v>0.23</x:v>
      </x:c>
      <x:c r="P47" s="22" t="n">
        <x:v>0.23</x:v>
      </x:c>
      <x:c r="Q47" s="22" t="n">
        <x:v>0.23</x:v>
      </x:c>
      <x:c r="R47" s="22" t="n">
        <x:v>0.23</x:v>
      </x:c>
    </x:row>
    <x:row r="49">
      <x:c r="C49" s="7" t="str">
        <x:v>Unpaid recoverables / gross reserves</x:v>
      </x:c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21" t="n">
        <x:f>IF(Scenarios!$D$6="Base",N50,IF(Scenarios!$D$6="Upside",N51,N52))</x:f>
        <x:v>0.115</x:v>
      </x:c>
      <x:c r="O49" s="21" t="n">
        <x:f>IF(Scenarios!$D$6="Base",O50,IF(Scenarios!$D$6="Upside",O51,O52))</x:f>
        <x:v>0.115</x:v>
      </x:c>
      <x:c r="P49" s="21" t="n">
        <x:f>IF(Scenarios!$D$6="Base",P50,IF(Scenarios!$D$6="Upside",P51,P52))</x:f>
        <x:v>0.115</x:v>
      </x:c>
      <x:c r="Q49" s="21" t="n">
        <x:f>IF(Scenarios!$D$6="Base",Q50,IF(Scenarios!$D$6="Upside",Q51,Q52))</x:f>
        <x:v>0.115</x:v>
      </x:c>
      <x:c r="R49" s="21" t="n">
        <x:f>IF(Scenarios!$D$6="Base",R50,IF(Scenarios!$D$6="Upside",R51,R52))</x:f>
        <x:v>0.115</x:v>
      </x:c>
    </x:row>
    <x:row r="50">
      <x:c r="C50" t="str">
        <x:v>Base</x:v>
      </x:c>
      <x:c r="N50" s="22" t="n">
        <x:v>0.115</x:v>
      </x:c>
      <x:c r="O50" s="22" t="n">
        <x:v>0.115</x:v>
      </x:c>
      <x:c r="P50" s="22" t="n">
        <x:v>0.115</x:v>
      </x:c>
      <x:c r="Q50" s="22" t="n">
        <x:v>0.115</x:v>
      </x:c>
      <x:c r="R50" s="22" t="n">
        <x:v>0.115</x:v>
      </x:c>
    </x:row>
    <x:row r="51">
      <x:c r="C51" t="str">
        <x:v>Upside</x:v>
      </x:c>
      <x:c r="N51" s="22" t="n">
        <x:v>0.105</x:v>
      </x:c>
      <x:c r="O51" s="22" t="n">
        <x:v>0.105</x:v>
      </x:c>
      <x:c r="P51" s="22" t="n">
        <x:v>0.105</x:v>
      </x:c>
      <x:c r="Q51" s="22" t="n">
        <x:v>0.105</x:v>
      </x:c>
      <x:c r="R51" s="22" t="n">
        <x:v>0.105</x:v>
      </x:c>
    </x:row>
    <x:row r="52">
      <x:c r="C52" t="str">
        <x:v>Downside</x:v>
      </x:c>
      <x:c r="N52" s="22" t="n">
        <x:v>0.125</x:v>
      </x:c>
      <x:c r="O52" s="22" t="n">
        <x:v>0.125</x:v>
      </x:c>
      <x:c r="P52" s="22" t="n">
        <x:v>0.125</x:v>
      </x:c>
      <x:c r="Q52" s="22" t="n">
        <x:v>0.125</x:v>
      </x:c>
      <x:c r="R52" s="22" t="n">
        <x:v>0.125</x:v>
      </x:c>
    </x:row>
    <x:row r="54">
      <x:c r="C54" s="7" t="str">
        <x:v>Illustrative underwriting expense / NEP</x:v>
      </x:c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21" t="n">
        <x:f>IF(Scenarios!$D$6="Base",N55,IF(Scenarios!$D$6="Upside",N56,N57))</x:f>
        <x:v>0.275</x:v>
      </x:c>
      <x:c r="O54" s="21" t="n">
        <x:f>IF(Scenarios!$D$6="Base",O55,IF(Scenarios!$D$6="Upside",O56,O57))</x:f>
        <x:v>0.275</x:v>
      </x:c>
      <x:c r="P54" s="21" t="n">
        <x:f>IF(Scenarios!$D$6="Base",P55,IF(Scenarios!$D$6="Upside",P56,P57))</x:f>
        <x:v>0.275</x:v>
      </x:c>
      <x:c r="Q54" s="21" t="n">
        <x:f>IF(Scenarios!$D$6="Base",Q55,IF(Scenarios!$D$6="Upside",Q56,Q57))</x:f>
        <x:v>0.275</x:v>
      </x:c>
      <x:c r="R54" s="21" t="n">
        <x:f>IF(Scenarios!$D$6="Base",R55,IF(Scenarios!$D$6="Upside",R56,R57))</x:f>
        <x:v>0.275</x:v>
      </x:c>
    </x:row>
    <x:row r="55">
      <x:c r="C55" t="str">
        <x:v>Base</x:v>
      </x:c>
      <x:c r="N55" s="22" t="n">
        <x:v>0.275</x:v>
      </x:c>
      <x:c r="O55" s="22" t="n">
        <x:v>0.275</x:v>
      </x:c>
      <x:c r="P55" s="22" t="n">
        <x:v>0.275</x:v>
      </x:c>
      <x:c r="Q55" s="22" t="n">
        <x:v>0.275</x:v>
      </x:c>
      <x:c r="R55" s="22" t="n">
        <x:v>0.275</x:v>
      </x:c>
    </x:row>
    <x:row r="56">
      <x:c r="C56" t="str">
        <x:v>Upside</x:v>
      </x:c>
      <x:c r="N56" s="22" t="n">
        <x:v>0.265</x:v>
      </x:c>
      <x:c r="O56" s="22" t="n">
        <x:v>0.265</x:v>
      </x:c>
      <x:c r="P56" s="22" t="n">
        <x:v>0.265</x:v>
      </x:c>
      <x:c r="Q56" s="22" t="n">
        <x:v>0.265</x:v>
      </x:c>
      <x:c r="R56" s="22" t="n">
        <x:v>0.265</x:v>
      </x:c>
    </x:row>
    <x:row r="57">
      <x:c r="C57" t="str">
        <x:v>Downside</x:v>
      </x:c>
      <x:c r="N57" s="22" t="n">
        <x:v>0.29</x:v>
      </x:c>
      <x:c r="O57" s="22" t="n">
        <x:v>0.29</x:v>
      </x:c>
      <x:c r="P57" s="22" t="n">
        <x:v>0.29</x:v>
      </x:c>
      <x:c r="Q57" s="22" t="n">
        <x:v>0.29</x:v>
      </x:c>
      <x:c r="R57" s="22" t="n">
        <x:v>0.29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87" hidden="0" customWidth="1"/>
    <x:col min="4" max="4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2"/>
      <x:c r="C2" s="2" t="str">
        <x:v>Forecast scenario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A6" s="2"/>
      <x:c r="B6" s="2"/>
      <x:c r="C6" s="2" t="str">
        <x:v>Selected case</x:v>
      </x:c>
      <x:c r="D6" s="30" t="str">
        <x:v>Base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>
      <x:c r="C9" t="str">
        <x:v>Base, upside and downside are illustrative analyst inputs. Changing D6 updates the same forecast schedules.</x:v>
      </x:c>
    </x:row>
    <x:row r="10">
      <x:c r="C10" t="str">
        <x:v>Forecast holds the FY2025 operating perimeter constant; the January 2026 Canadian sale is not reflected.</x:v>
      </x:c>
    </x:row>
  </x:sheetData>
  <x:dataValidations count="1">
    <x:dataValidation type="list" sqref="D6">
      <x:formula1>"Base,Upside,Downside"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3" max="3" width="49" hidden="0" customWidth="1"/>
    <x:col min="4" max="4" width="3" hidden="0" customWidth="1"/>
    <x:col min="5" max="5" width="3" hidden="0" customWidth="1"/>
    <x:col min="6" max="6" width="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2"/>
      <x:c r="C2" s="6" t="str">
        <x:v>Travelers P&amp;C operating model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2"/>
      <x:c r="C3" s="2" t="str">
        <x:v>USD millions except shares and ratios · FY2020–25 actual · FY2026–30 illustrative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 t="str">
        <x:f>Scenarios!D6</x:f>
        <x:v>Base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>
      <x:c r="A7" s="2"/>
      <x:c r="B7" s="2"/>
      <x:c r="C7" s="2"/>
      <x:c r="D7" s="2"/>
      <x:c r="E7" s="2"/>
      <x:c r="F7" s="2"/>
      <x:c r="G7" s="5" t="n">
        <x:v>2019</x:v>
      </x:c>
      <x:c r="H7" s="5" t="n">
        <x:v>2020</x:v>
      </x:c>
      <x:c r="I7" s="5" t="n">
        <x:v>2021</x:v>
      </x:c>
      <x:c r="J7" s="5" t="n">
        <x:v>2022</x:v>
      </x:c>
      <x:c r="K7" s="5" t="n">
        <x:v>2023</x:v>
      </x:c>
      <x:c r="L7" s="5" t="n">
        <x:v>2024</x:v>
      </x:c>
      <x:c r="M7" s="5" t="n">
        <x:v>2025</x:v>
      </x:c>
      <x:c r="N7" s="5" t="n">
        <x:v>2026</x:v>
      </x:c>
      <x:c r="O7" s="5" t="n">
        <x:v>2027</x:v>
      </x:c>
      <x:c r="P7" s="5" t="n">
        <x:v>2028</x:v>
      </x:c>
      <x:c r="Q7" s="5" t="n">
        <x:v>2029</x:v>
      </x:c>
      <x:c r="R7" s="5" t="n">
        <x:v>2030</x:v>
      </x:c>
    </x:row>
    <x:row r="8">
      <x:c r="A8" s="2"/>
      <x:c r="B8" s="2"/>
      <x:c r="C8" s="2"/>
      <x:c r="D8" s="2"/>
      <x:c r="E8" s="2"/>
      <x:c r="F8" s="2"/>
      <x:c r="G8" s="5" t="str">
        <x:v>Opening</x:v>
      </x:c>
      <x:c r="H8" s="5" t="str">
        <x:v>Actual</x:v>
      </x:c>
      <x:c r="I8" s="5" t="str">
        <x:v>Actual</x:v>
      </x:c>
      <x:c r="J8" s="5" t="str">
        <x:v>Actual</x:v>
      </x:c>
      <x:c r="K8" s="5" t="str">
        <x:v>Actual</x:v>
      </x:c>
      <x:c r="L8" s="5" t="str">
        <x:v>Actual</x:v>
      </x:c>
      <x:c r="M8" s="5" t="str">
        <x:v>Actual</x:v>
      </x:c>
      <x:c r="N8" s="5" t="str">
        <x:v>Forecast</x:v>
      </x:c>
      <x:c r="O8" s="5" t="str">
        <x:v>Forecast</x:v>
      </x:c>
      <x:c r="P8" s="5" t="str">
        <x:v>Forecast</x:v>
      </x:c>
      <x:c r="Q8" s="5" t="str">
        <x:v>Forecast</x:v>
      </x:c>
      <x:c r="R8" s="5" t="str">
        <x:v>Forecast</x:v>
      </x:c>
    </x:row>
    <x:row r="9">
      <x:c r="N9" s="13"/>
      <x:c r="O9" s="14"/>
      <x:c r="P9" s="14"/>
      <x:c r="Q9" s="14"/>
      <x:c r="R9" s="14"/>
    </x:row>
    <x:row r="10">
      <x:c r="C10" s="9" t="str">
        <x:v>Premiums and earning</x:v>
      </x:c>
      <x:c r="D10" s="9"/>
      <x:c r="E10" s="9"/>
      <x:c r="F10" s="9"/>
      <x:c r="G10" s="10"/>
      <x:c r="H10" s="10"/>
      <x:c r="I10" s="10"/>
      <x:c r="J10" s="10"/>
      <x:c r="K10" s="10"/>
      <x:c r="L10" s="10"/>
      <x:c r="M10" s="10"/>
      <x:c r="N10" s="15"/>
      <x:c r="O10" s="10"/>
      <x:c r="P10" s="10"/>
      <x:c r="Q10" s="10"/>
      <x:c r="R10" s="10"/>
    </x:row>
    <x:row r="11">
      <x:c r="C11" t="str">
        <x:v>Direct written premiums</x:v>
      </x:c>
      <x:c r="G11" s="1"/>
      <x:c r="H11" s="18" t="n">
        <x:f>Sources!C73</x:f>
        <x:v>30762</x:v>
      </x:c>
      <x:c r="I11" s="18" t="n">
        <x:f>Sources!C179</x:f>
        <x:v>33180</x:v>
      </x:c>
      <x:c r="J11" s="18" t="n">
        <x:f>Sources!C285</x:f>
        <x:v>36648</x:v>
      </x:c>
      <x:c r="K11" s="18" t="n">
        <x:f>Sources!C391</x:f>
        <x:v>40983</x:v>
      </x:c>
      <x:c r="L11" s="18" t="n">
        <x:f>Sources!C497</x:f>
        <x:v>44377</x:v>
      </x:c>
      <x:c r="M11" s="18" t="n">
        <x:f>Sources!C605</x:f>
        <x:v>45594</x:v>
      </x:c>
      <x:c r="N11" s="16"/>
      <x:c r="O11" s="1"/>
      <x:c r="P11" s="1"/>
      <x:c r="Q11" s="1"/>
      <x:c r="R11" s="1"/>
    </x:row>
    <x:row r="12">
      <x:c r="C12" t="str">
        <x:v>Assumed written premiums</x:v>
      </x:c>
      <x:c r="G12" s="1"/>
      <x:c r="H12" s="18" t="n">
        <x:f>Sources!C42</x:f>
        <x:v>1001</x:v>
      </x:c>
      <x:c r="I12" s="18" t="n">
        <x:f>Sources!C148</x:f>
        <x:v>1064</x:v>
      </x:c>
      <x:c r="J12" s="18" t="n">
        <x:f>Sources!C254</x:f>
        <x:v>1228</x:v>
      </x:c>
      <x:c r="K12" s="18" t="n">
        <x:f>Sources!C360</x:f>
        <x:v>1989</x:v>
      </x:c>
      <x:c r="L12" s="18" t="n">
        <x:f>Sources!C466</x:f>
        <x:v>2173</x:v>
      </x:c>
      <x:c r="M12" s="18" t="n">
        <x:f>Sources!C573</x:f>
        <x:v>2136</x:v>
      </x:c>
      <x:c r="N12" s="16"/>
      <x:c r="O12" s="1"/>
      <x:c r="P12" s="1"/>
      <x:c r="Q12" s="1"/>
      <x:c r="R12" s="1"/>
    </x:row>
    <x:row r="13">
      <x:c r="C13" s="11" t="str">
        <x:v>Gross written premiums</x:v>
      </x:c>
      <x:c r="D13" s="11"/>
      <x:c r="E13" s="11"/>
      <x:c r="F13" s="11"/>
      <x:c r="G13" s="12"/>
      <x:c r="H13" s="12" t="n">
        <x:f>H11+H12</x:f>
        <x:v>31763</x:v>
      </x:c>
      <x:c r="I13" s="12" t="n">
        <x:f>I11+I12</x:f>
        <x:v>34244</x:v>
      </x:c>
      <x:c r="J13" s="12" t="n">
        <x:f>J11+J12</x:f>
        <x:v>37876</x:v>
      </x:c>
      <x:c r="K13" s="12" t="n">
        <x:f>K11+K12</x:f>
        <x:v>42972</x:v>
      </x:c>
      <x:c r="L13" s="12" t="n">
        <x:f>L11+L12</x:f>
        <x:v>46550</x:v>
      </x:c>
      <x:c r="M13" s="12" t="n">
        <x:f>M11+M12</x:f>
        <x:v>47730</x:v>
      </x:c>
      <x:c r="N13" s="17" t="n">
        <x:f>M13*(1+Assumptions!N9)</x:f>
        <x:v>49639.200000000004</x:v>
      </x:c>
      <x:c r="O13" s="12" t="n">
        <x:f>N13*(1+Assumptions!O9)</x:f>
        <x:v>51624.768000000004</x:v>
      </x:c>
      <x:c r="P13" s="12" t="n">
        <x:f>O13*(1+Assumptions!P9)</x:f>
        <x:v>53689.758720000005</x:v>
      </x:c>
      <x:c r="Q13" s="12" t="n">
        <x:f>P13*(1+Assumptions!Q9)</x:f>
        <x:v>55837.34906880001</x:v>
      </x:c>
      <x:c r="R13" s="12" t="n">
        <x:f>Q13*(1+Assumptions!R9)</x:f>
        <x:v>58070.84303155201</x:v>
      </x:c>
    </x:row>
    <x:row r="14">
      <x:c r="C14" t="str">
        <x:v>Ceded written premiums</x:v>
      </x:c>
      <x:c r="G14" s="1"/>
      <x:c r="H14" s="18" t="n">
        <x:f>Sources!C53</x:f>
        <x:v>2031</x:v>
      </x:c>
      <x:c r="I14" s="18" t="n">
        <x:f>Sources!C159</x:f>
        <x:v>2285</x:v>
      </x:c>
      <x:c r="J14" s="18" t="n">
        <x:f>Sources!C265</x:f>
        <x:v>2462</x:v>
      </x:c>
      <x:c r="K14" s="18" t="n">
        <x:f>Sources!C371</x:f>
        <x:v>2771</x:v>
      </x:c>
      <x:c r="L14" s="18" t="n">
        <x:f>Sources!C477</x:f>
        <x:v>3194</x:v>
      </x:c>
      <x:c r="M14" s="18" t="n">
        <x:f>Sources!C585</x:f>
        <x:v>3343</x:v>
      </x:c>
      <x:c r="N14" s="16" t="n">
        <x:f>N13*Assumptions!N14</x:f>
        <x:v>3474.7440000000006</x:v>
      </x:c>
      <x:c r="O14" s="1" t="n">
        <x:f>O13*Assumptions!O14</x:f>
        <x:v>3613.7337600000005</x:v>
      </x:c>
      <x:c r="P14" s="1" t="n">
        <x:f>P13*Assumptions!P14</x:f>
        <x:v>3758.2831104000006</x:v>
      </x:c>
      <x:c r="Q14" s="1" t="n">
        <x:f>Q13*Assumptions!Q14</x:f>
        <x:v>3908.614434816001</x:v>
      </x:c>
      <x:c r="R14" s="1" t="n">
        <x:f>R13*Assumptions!R14</x:f>
        <x:v>4064.959012208641</x:v>
      </x:c>
    </x:row>
    <x:row r="15">
      <x:c r="C15" s="11" t="str">
        <x:v>Net written premiums</x:v>
      </x:c>
      <x:c r="D15" s="11"/>
      <x:c r="E15" s="11"/>
      <x:c r="F15" s="11"/>
      <x:c r="G15" s="12"/>
      <x:c r="H15" s="12" t="n">
        <x:f>H13-H14</x:f>
        <x:v>29732</x:v>
      </x:c>
      <x:c r="I15" s="12" t="n">
        <x:f>I13-I14</x:f>
        <x:v>31959</x:v>
      </x:c>
      <x:c r="J15" s="12" t="n">
        <x:f>J13-J14</x:f>
        <x:v>35414</x:v>
      </x:c>
      <x:c r="K15" s="12" t="n">
        <x:f>K13-K14</x:f>
        <x:v>40201</x:v>
      </x:c>
      <x:c r="L15" s="12" t="n">
        <x:f>L13-L14</x:f>
        <x:v>43356</x:v>
      </x:c>
      <x:c r="M15" s="12" t="n">
        <x:f>M13-M14</x:f>
        <x:v>44387</x:v>
      </x:c>
      <x:c r="N15" s="17" t="n">
        <x:f>N13-N14</x:f>
        <x:v>46164.456000000006</x:v>
      </x:c>
      <x:c r="O15" s="12" t="n">
        <x:f>O13-O14</x:f>
        <x:v>48011.03424</x:v>
      </x:c>
      <x:c r="P15" s="12" t="n">
        <x:f>P13-P14</x:f>
        <x:v>49931.475609600006</x:v>
      </x:c>
      <x:c r="Q15" s="12" t="n">
        <x:f>Q13-Q14</x:f>
        <x:v>51928.73463398401</x:v>
      </x:c>
      <x:c r="R15" s="12" t="n">
        <x:f>R13-R14</x:f>
        <x:v>54005.88401934337</x:v>
      </x:c>
    </x:row>
    <x:row r="16">
      <x:c r="C16" t="str">
        <x:v>Gross unearned premiums</x:v>
      </x:c>
      <x:c r="G16" s="18" t="n">
        <x:f>Sources!C19</x:f>
        <x:v>14604</x:v>
      </x:c>
      <x:c r="H16" s="18" t="n">
        <x:f>Sources!C95</x:f>
        <x:v>15222</x:v>
      </x:c>
      <x:c r="I16" s="18" t="n">
        <x:f>Sources!C201</x:f>
        <x:v>16469</x:v>
      </x:c>
      <x:c r="J16" s="18" t="n">
        <x:f>Sources!C307</x:f>
        <x:v>18240</x:v>
      </x:c>
      <x:c r="K16" s="18" t="n">
        <x:f>Sources!C413</x:f>
        <x:v>20872</x:v>
      </x:c>
      <x:c r="L16" s="18" t="n">
        <x:f>Sources!C519</x:f>
        <x:v>22289</x:v>
      </x:c>
      <x:c r="M16" s="18" t="n">
        <x:f>Sources!C627</x:f>
        <x:v>22431</x:v>
      </x:c>
      <x:c r="N16" s="16" t="n">
        <x:f>N13*Assumptions!N19</x:f>
        <x:v>23330.424</x:v>
      </x:c>
      <x:c r="O16" s="1" t="n">
        <x:f>O13*Assumptions!O19</x:f>
        <x:v>24263.64096</x:v>
      </x:c>
      <x:c r="P16" s="1" t="n">
        <x:f>P13*Assumptions!P19</x:f>
        <x:v>25234.1865984</x:v>
      </x:c>
      <x:c r="Q16" s="1" t="n">
        <x:f>Q13*Assumptions!Q19</x:f>
        <x:v>26243.554062336003</x:v>
      </x:c>
      <x:c r="R16" s="1" t="n">
        <x:f>R13*Assumptions!R19</x:f>
        <x:v>27293.296224829443</x:v>
      </x:c>
    </x:row>
    <x:row r="17">
      <x:c r="C17" t="str">
        <x:v>Ceded unearned premiums</x:v>
      </x:c>
      <x:c r="G17" s="18" t="n">
        <x:f>Sources!C6</x:f>
        <x:v>689</x:v>
      </x:c>
      <x:c r="H17" s="18" t="n">
        <x:f>Sources!C52</x:f>
        <x:v>772</x:v>
      </x:c>
      <x:c r="I17" s="18" t="n">
        <x:f>Sources!C158</x:f>
        <x:v>902</x:v>
      </x:c>
      <x:c r="J17" s="18" t="n">
        <x:f>Sources!C264</x:f>
        <x:v>1024</x:v>
      </x:c>
      <x:c r="K17" s="18" t="n">
        <x:f>Sources!C370</x:f>
        <x:v>1150</x:v>
      </x:c>
      <x:c r="L17" s="18" t="n">
        <x:f>Sources!C476</x:f>
        <x:v>1202</x:v>
      </x:c>
      <x:c r="M17" s="18" t="n">
        <x:f>Sources!C584</x:f>
        <x:v>1283</x:v>
      </x:c>
      <x:c r="N17" s="16" t="n">
        <x:f>N14*Assumptions!N19</x:f>
        <x:v>1633.1296800000002</x:v>
      </x:c>
      <x:c r="O17" s="1" t="n">
        <x:f>O14*Assumptions!O19</x:f>
        <x:v>1698.4548672</x:v>
      </x:c>
      <x:c r="P17" s="1" t="n">
        <x:f>P14*Assumptions!P19</x:f>
        <x:v>1766.3930618880001</x:v>
      </x:c>
      <x:c r="Q17" s="1" t="n">
        <x:f>Q14*Assumptions!Q19</x:f>
        <x:v>1837.0487843635203</x:v>
      </x:c>
      <x:c r="R17" s="1" t="n">
        <x:f>R14*Assumptions!R19</x:f>
        <x:v>1910.5307357380611</x:v>
      </x:c>
    </x:row>
    <x:row r="18">
      <x:c r="C18" t="str">
        <x:v>Net unearned premiums</x:v>
      </x:c>
      <x:c r="G18" s="1" t="n">
        <x:f>G16-G17</x:f>
        <x:v>13915</x:v>
      </x:c>
      <x:c r="H18" s="1" t="n">
        <x:f>H16-H17</x:f>
        <x:v>14450</x:v>
      </x:c>
      <x:c r="I18" s="1" t="n">
        <x:f>I16-I17</x:f>
        <x:v>15567</x:v>
      </x:c>
      <x:c r="J18" s="1" t="n">
        <x:f>J16-J17</x:f>
        <x:v>17216</x:v>
      </x:c>
      <x:c r="K18" s="1" t="n">
        <x:f>K16-K17</x:f>
        <x:v>19722</x:v>
      </x:c>
      <x:c r="L18" s="1" t="n">
        <x:f>L16-L17</x:f>
        <x:v>21087</x:v>
      </x:c>
      <x:c r="M18" s="1" t="n">
        <x:f>M16-M17</x:f>
        <x:v>21148</x:v>
      </x:c>
      <x:c r="N18" s="16" t="n">
        <x:f>N16-N17</x:f>
        <x:v>21697.294319999997</x:v>
      </x:c>
      <x:c r="O18" s="1" t="n">
        <x:f>O16-O17</x:f>
        <x:v>22565.186092800002</x:v>
      </x:c>
      <x:c r="P18" s="1" t="n">
        <x:f>P16-P17</x:f>
        <x:v>23467.793536512</x:v>
      </x:c>
      <x:c r="Q18" s="1" t="n">
        <x:f>Q16-Q17</x:f>
        <x:v>24406.505277972483</x:v>
      </x:c>
      <x:c r="R18" s="1" t="n">
        <x:f>R16-R17</x:f>
        <x:v>25382.76548909138</x:v>
      </x:c>
    </x:row>
    <x:row r="19">
      <x:c r="C19" t="str">
        <x:v>Gross UPR held for sale</x:v>
      </x:c>
      <x:c r="G19" s="1"/>
      <x:c r="H19" s="1"/>
      <x:c r="I19" s="1"/>
      <x:c r="J19" s="1"/>
      <x:c r="K19" s="1"/>
      <x:c r="L19" s="1"/>
      <x:c r="M19" s="18" t="n">
        <x:f>Sources!C631</x:f>
        <x:v>514</x:v>
      </x:c>
      <x:c r="N19" s="16"/>
      <x:c r="O19" s="1"/>
      <x:c r="P19" s="1"/>
      <x:c r="Q19" s="1"/>
      <x:c r="R19" s="1"/>
    </x:row>
    <x:row r="20">
      <x:c r="C20" t="str">
        <x:v>Gross earned premiums</x:v>
      </x:c>
      <x:c r="G20" s="1"/>
      <x:c r="H20" s="18" t="n">
        <x:f>Sources!C93</x:f>
        <x:v>30988</x:v>
      </x:c>
      <x:c r="I20" s="18" t="n">
        <x:f>Sources!C199</x:f>
        <x:v>33009</x:v>
      </x:c>
      <x:c r="J20" s="18" t="n">
        <x:f>Sources!C305</x:f>
        <x:v>36093</x:v>
      </x:c>
      <x:c r="K20" s="18" t="n">
        <x:f>Sources!C411</x:f>
        <x:v>40410</x:v>
      </x:c>
      <x:c r="L20" s="18" t="n">
        <x:f>Sources!C517</x:f>
        <x:v>45078</x:v>
      </x:c>
      <x:c r="M20" s="18" t="n">
        <x:f>Sources!C625</x:f>
        <x:v>47152</x:v>
      </x:c>
      <x:c r="N20" s="16" t="n">
        <x:f>N13+M16-N16</x:f>
        <x:v>48739.77600000001</x:v>
      </x:c>
      <x:c r="O20" s="1" t="n">
        <x:f>O13+N16-O16</x:f>
        <x:v>50691.551040000006</x:v>
      </x:c>
      <x:c r="P20" s="1" t="n">
        <x:f>P13+O16-P16</x:f>
        <x:v>52719.2130816</x:v>
      </x:c>
      <x:c r="Q20" s="1" t="n">
        <x:f>Q13+P16-Q16</x:f>
        <x:v>54827.981604864006</x:v>
      </x:c>
      <x:c r="R20" s="1" t="n">
        <x:f>R13+Q16-R16</x:f>
        <x:v>57021.100869058566</x:v>
      </x:c>
    </x:row>
    <x:row r="21">
      <x:c r="C21" t="str">
        <x:v>Ceded earned premiums</x:v>
      </x:c>
      <x:c r="G21" s="1"/>
      <x:c r="H21" s="18" t="n">
        <x:f>Sources!C51</x:f>
        <x:v>1944</x:v>
      </x:c>
      <x:c r="I21" s="18" t="n">
        <x:f>Sources!C157</x:f>
        <x:v>2154</x:v>
      </x:c>
      <x:c r="J21" s="18" t="n">
        <x:f>Sources!C263</x:f>
        <x:v>2330</x:v>
      </x:c>
      <x:c r="K21" s="18" t="n">
        <x:f>Sources!C369</x:f>
        <x:v>2649</x:v>
      </x:c>
      <x:c r="L21" s="18" t="n">
        <x:f>Sources!C475</x:f>
        <x:v>3137</x:v>
      </x:c>
      <x:c r="M21" s="18" t="n">
        <x:f>Sources!C583</x:f>
        <x:v>3238</x:v>
      </x:c>
      <x:c r="N21" s="16" t="n">
        <x:f>N14+M17-N17</x:f>
        <x:v>3124.6143200000006</x:v>
      </x:c>
      <x:c r="O21" s="1" t="n">
        <x:f>O14+N17-O17</x:f>
        <x:v>3548.408572800001</x:v>
      </x:c>
      <x:c r="P21" s="1" t="n">
        <x:f>P14+O17-P17</x:f>
        <x:v>3690.3449157120003</x:v>
      </x:c>
      <x:c r="Q21" s="1" t="n">
        <x:f>Q14+P17-Q17</x:f>
        <x:v>3837.958712340481</x:v>
      </x:c>
      <x:c r="R21" s="1" t="n">
        <x:f>R14+Q17-R17</x:f>
        <x:v>3991.4770608341</x:v>
      </x:c>
    </x:row>
    <x:row r="22">
      <x:c r="C22" s="11" t="str">
        <x:v>Net earned premiums</x:v>
      </x:c>
      <x:c r="D22" s="11"/>
      <x:c r="E22" s="11"/>
      <x:c r="F22" s="11"/>
      <x:c r="G22" s="12"/>
      <x:c r="H22" s="12" t="n">
        <x:f>H20-H21</x:f>
        <x:v>29044</x:v>
      </x:c>
      <x:c r="I22" s="12" t="n">
        <x:f>I20-I21</x:f>
        <x:v>30855</x:v>
      </x:c>
      <x:c r="J22" s="12" t="n">
        <x:f>J20-J21</x:f>
        <x:v>33763</x:v>
      </x:c>
      <x:c r="K22" s="12" t="n">
        <x:f>K20-K21</x:f>
        <x:v>37761</x:v>
      </x:c>
      <x:c r="L22" s="12" t="n">
        <x:f>L20-L21</x:f>
        <x:v>41941</x:v>
      </x:c>
      <x:c r="M22" s="12" t="n">
        <x:f>M20-M21</x:f>
        <x:v>43914</x:v>
      </x:c>
      <x:c r="N22" s="17" t="n">
        <x:f>N20-N21</x:f>
        <x:v>45615.16168000001</x:v>
      </x:c>
      <x:c r="O22" s="12" t="n">
        <x:f>O20-O21</x:f>
        <x:v>47143.14246720001</x:v>
      </x:c>
      <x:c r="P22" s="12" t="n">
        <x:f>P20-P21</x:f>
        <x:v>49028.868165888</x:v>
      </x:c>
      <x:c r="Q22" s="12" t="n">
        <x:f>Q20-Q21</x:f>
        <x:v>50990.02289252353</x:v>
      </x:c>
      <x:c r="R22" s="12" t="n">
        <x:f>R20-R21</x:f>
        <x:v>53029.62380822447</x:v>
      </x:c>
    </x:row>
    <x:row r="23">
      <x:c r="C23" t="str">
        <x:v>Gross premium earning difference</x:v>
      </x:c>
      <x:c r="G23" s="1"/>
      <x:c r="H23" s="28" t="n">
        <x:f>H20-(H13+G16-H16)</x:f>
        <x:v>-157</x:v>
      </x:c>
      <x:c r="I23" s="28" t="n">
        <x:f>I20-(I13+H16-I16)</x:f>
        <x:v>12</x:v>
      </x:c>
      <x:c r="J23" s="28" t="n">
        <x:f>J20-(J13+I16-J16)</x:f>
        <x:v>-12</x:v>
      </x:c>
      <x:c r="K23" s="28" t="n">
        <x:f>K20-(K13+J16-K16)</x:f>
        <x:v>70</x:v>
      </x:c>
      <x:c r="L23" s="28" t="n">
        <x:f>L20-(L13+K16-L16)</x:f>
        <x:v>-55</x:v>
      </x:c>
      <x:c r="M23" s="28" t="n">
        <x:f>M20-(M13+L16-M16)</x:f>
        <x:v>-436</x:v>
      </x:c>
      <x:c r="N23" s="16"/>
      <x:c r="O23" s="1"/>
      <x:c r="P23" s="1"/>
      <x:c r="Q23" s="1"/>
      <x:c r="R23" s="1"/>
    </x:row>
    <x:row r="24">
      <x:c r="C24" t="str">
        <x:v>Ceded premium earning difference</x:v>
      </x:c>
      <x:c r="G24" s="1"/>
      <x:c r="H24" s="28" t="n">
        <x:f>H21-(H14+G17-H17)</x:f>
        <x:v>-4</x:v>
      </x:c>
      <x:c r="I24" s="28" t="n">
        <x:f>I21-(I14+H17-I17)</x:f>
        <x:v>-1</x:v>
      </x:c>
      <x:c r="J24" s="28" t="n">
        <x:f>J21-(J14+I17-J17)</x:f>
        <x:v>-10</x:v>
      </x:c>
      <x:c r="K24" s="28" t="n">
        <x:f>K21-(K14+J17-K17)</x:f>
        <x:v>4</x:v>
      </x:c>
      <x:c r="L24" s="28" t="n">
        <x:f>L21-(L14+K17-L17)</x:f>
        <x:v>-5</x:v>
      </x:c>
      <x:c r="M24" s="28" t="n">
        <x:f>M21-(M14+L17-M17)</x:f>
        <x:v>-24</x:v>
      </x:c>
      <x:c r="N24" s="16"/>
      <x:c r="O24" s="1"/>
      <x:c r="P24" s="1"/>
      <x:c r="Q24" s="1"/>
      <x:c r="R24" s="1"/>
    </x:row>
    <x:row r="25">
      <x:c r="C25" t="str">
        <x:v>Net premium earning difference</x:v>
      </x:c>
      <x:c r="G25" s="1"/>
      <x:c r="H25" s="28" t="n">
        <x:f>H23-H24</x:f>
        <x:v>-153</x:v>
      </x:c>
      <x:c r="I25" s="28" t="n">
        <x:f>I23-I24</x:f>
        <x:v>13</x:v>
      </x:c>
      <x:c r="J25" s="28" t="n">
        <x:f>J23-J24</x:f>
        <x:v>-2</x:v>
      </x:c>
      <x:c r="K25" s="28" t="n">
        <x:f>K23-K24</x:f>
        <x:v>66</x:v>
      </x:c>
      <x:c r="L25" s="28" t="n">
        <x:f>L23-L24</x:f>
        <x:v>-50</x:v>
      </x:c>
      <x:c r="M25" s="28" t="n">
        <x:f>M23-M24</x:f>
        <x:v>-412</x:v>
      </x:c>
      <x:c r="N25" s="16"/>
      <x:c r="O25" s="1"/>
      <x:c r="P25" s="1"/>
      <x:c r="Q25" s="1"/>
      <x:c r="R25" s="1"/>
    </x:row>
    <x:row r="26">
      <x:c r="G26" s="1"/>
      <x:c r="H26" s="1"/>
      <x:c r="I26" s="1"/>
      <x:c r="J26" s="1"/>
      <x:c r="K26" s="1"/>
      <x:c r="L26" s="1"/>
      <x:c r="M26" s="1"/>
      <x:c r="N26" s="16"/>
      <x:c r="O26" s="1"/>
      <x:c r="P26" s="1"/>
      <x:c r="Q26" s="1"/>
      <x:c r="R26" s="1"/>
    </x:row>
    <x:row r="27">
      <x:c r="G27" s="1"/>
      <x:c r="H27" s="1"/>
      <x:c r="I27" s="1"/>
      <x:c r="J27" s="1"/>
      <x:c r="K27" s="1"/>
      <x:c r="L27" s="1"/>
      <x:c r="M27" s="1"/>
      <x:c r="N27" s="16"/>
      <x:c r="O27" s="1"/>
      <x:c r="P27" s="1"/>
      <x:c r="Q27" s="1"/>
      <x:c r="R27" s="1"/>
    </x:row>
    <x:row r="28">
      <x:c r="C28" s="9" t="str">
        <x:v>Claims and P&amp;C reserves</x:v>
      </x:c>
      <x:c r="D28" s="9"/>
      <x:c r="E28" s="9"/>
      <x:c r="F28" s="9"/>
      <x:c r="G28" s="10"/>
      <x:c r="H28" s="10"/>
      <x:c r="I28" s="10"/>
      <x:c r="J28" s="10"/>
      <x:c r="K28" s="10"/>
      <x:c r="L28" s="10"/>
      <x:c r="M28" s="10"/>
      <x:c r="N28" s="15"/>
      <x:c r="O28" s="10"/>
      <x:c r="P28" s="10"/>
      <x:c r="Q28" s="10"/>
      <x:c r="R28" s="10"/>
    </x:row>
    <x:row r="29">
      <x:c r="C29" t="str">
        <x:v>Current accident-year incurred</x:v>
      </x:c>
      <x:c r="G29" s="1"/>
      <x:c r="H29" s="18" t="n">
        <x:f>Sources!C64</x:f>
        <x:v>19285</x:v>
      </x:c>
      <x:c r="I29" s="18" t="n">
        <x:f>Sources!C170</x:f>
        <x:v>20698</x:v>
      </x:c>
      <x:c r="J29" s="18" t="n">
        <x:f>Sources!C276</x:f>
        <x:v>23308</x:v>
      </x:c>
      <x:c r="K29" s="18" t="n">
        <x:f>Sources!C382</x:f>
        <x:v>26159</x:v>
      </x:c>
      <x:c r="L29" s="18" t="n">
        <x:f>Sources!C488</x:f>
        <x:v>27508</x:v>
      </x:c>
      <x:c r="M29" s="18" t="n">
        <x:f>Sources!C596</x:f>
        <x:v>28051</x:v>
      </x:c>
      <x:c r="N29" s="16" t="n">
        <x:f>N22*(Assumptions!N24+Assumptions!N29)</x:f>
        <x:v>29193.703475200007</x:v>
      </x:c>
      <x:c r="O29" s="1" t="n">
        <x:f>O22*(Assumptions!O24+Assumptions!O29)</x:f>
        <x:v>30171.611179008003</x:v>
      </x:c>
      <x:c r="P29" s="1" t="n">
        <x:f>P22*(Assumptions!P24+Assumptions!P29)</x:f>
        <x:v>31378.47562616832</x:v>
      </x:c>
      <x:c r="Q29" s="1" t="n">
        <x:f>Q22*(Assumptions!Q24+Assumptions!Q29)</x:f>
        <x:v>32633.61465121506</x:v>
      </x:c>
      <x:c r="R29" s="1" t="n">
        <x:f>R22*(Assumptions!R24+Assumptions!R29)</x:f>
        <x:v>33938.95923726366</x:v>
      </x:c>
    </x:row>
    <x:row r="30">
      <x:c r="C30" t="str">
        <x:v>Prior accident-year incurred adjustment</x:v>
      </x:c>
      <x:c r="G30" s="1"/>
      <x:c r="H30" s="18" t="n">
        <x:f>Sources!C125</x:f>
        <x:v>-267</x:v>
      </x:c>
      <x:c r="I30" s="18" t="n">
        <x:f>Sources!C231</x:f>
        <x:v>-484</x:v>
      </x:c>
      <x:c r="J30" s="18" t="n">
        <x:f>Sources!C337</x:f>
        <x:v>-537</x:v>
      </x:c>
      <x:c r="K30" s="18" t="n">
        <x:f>Sources!C443</x:f>
        <x:v>-38</x:v>
      </x:c>
      <x:c r="L30" s="18" t="n">
        <x:f>Sources!C549</x:f>
        <x:v>-548</x:v>
      </x:c>
      <x:c r="M30" s="18" t="n">
        <x:f>Sources!C662</x:f>
        <x:v>-939</x:v>
      </x:c>
      <x:c r="N30" s="16" t="n">
        <x:f>M37*Assumptions!N34</x:f>
        <x:v>-598.46</x:v>
      </x:c>
      <x:c r="O30" s="1" t="n">
        <x:f>N37*Assumptions!O34</x:f>
        <x:v>-641.8151615462401</x:v>
      </x:c>
      <x:c r="P30" s="1" t="n">
        <x:f>O37*Assumptions!P34</x:f>
        <x:v>-681.2616637004545</x:v>
      </x:c>
      <x:c r="Q30" s="1" t="n">
        <x:f>P37*Assumptions!Q34</x:f>
        <x:v>-719.1180299315937</x:v>
      </x:c>
      <x:c r="R30" s="1" t="n">
        <x:f>Q37*Assumptions!R34</x:f>
        <x:v>-756.0492938848605</x:v>
      </x:c>
    </x:row>
    <x:row r="31">
      <x:c r="C31" t="str">
        <x:v>Total reserve-table incurred</x:v>
      </x:c>
      <x:c r="G31" s="1"/>
      <x:c r="H31" s="1" t="n">
        <x:f>H29+H30</x:f>
        <x:v>19018</x:v>
      </x:c>
      <x:c r="I31" s="1" t="n">
        <x:f>I29+I30</x:f>
        <x:v>20214</x:v>
      </x:c>
      <x:c r="J31" s="1" t="n">
        <x:f>J29+J30</x:f>
        <x:v>22771</x:v>
      </x:c>
      <x:c r="K31" s="1" t="n">
        <x:f>K29+K30</x:f>
        <x:v>26121</x:v>
      </x:c>
      <x:c r="L31" s="1" t="n">
        <x:f>L29+L30</x:f>
        <x:v>26960</x:v>
      </x:c>
      <x:c r="M31" s="1" t="n">
        <x:f>M29+M30</x:f>
        <x:v>27112</x:v>
      </x:c>
      <x:c r="N31" s="16" t="n">
        <x:f>N29+N30</x:f>
        <x:v>28595.243475200008</x:v>
      </x:c>
      <x:c r="O31" s="1" t="n">
        <x:f>O29+O30</x:f>
        <x:v>29529.796017461762</x:v>
      </x:c>
      <x:c r="P31" s="1" t="n">
        <x:f>P29+P30</x:f>
        <x:v>30697.213962467868</x:v>
      </x:c>
      <x:c r="Q31" s="1" t="n">
        <x:f>Q29+Q30</x:f>
        <x:v>31914.496621283466</x:v>
      </x:c>
      <x:c r="R31" s="1" t="n">
        <x:f>R29+R30</x:f>
        <x:v>33182.9099433788</x:v>
      </x:c>
    </x:row>
    <x:row r="32">
      <x:c r="C32" t="str">
        <x:v>Paid current-year claims</x:v>
      </x:c>
      <x:c r="G32" s="1"/>
      <x:c r="H32" s="18" t="n">
        <x:f>Sources!C112</x:f>
        <x:v>7497</x:v>
      </x:c>
      <x:c r="I32" s="18" t="n">
        <x:f>Sources!C218</x:f>
        <x:v>8401</x:v>
      </x:c>
      <x:c r="J32" s="18" t="n">
        <x:f>Sources!C324</x:f>
        <x:v>9406</x:v>
      </x:c>
      <x:c r="K32" s="18" t="n">
        <x:f>Sources!C430</x:f>
        <x:v>10852</x:v>
      </x:c>
      <x:c r="L32" s="18" t="n">
        <x:f>Sources!C536</x:f>
        <x:v>10924</x:v>
      </x:c>
      <x:c r="M32" s="18" t="n">
        <x:f>Sources!C649</x:f>
        <x:v>10606</x:v>
      </x:c>
      <x:c r="N32" s="16" t="n">
        <x:f>N29*Assumptions!N39</x:f>
        <x:v>11093.607320576002</x:v>
      </x:c>
      <x:c r="O32" s="1" t="n">
        <x:f>O29*Assumptions!O39</x:f>
        <x:v>11465.212248023041</x:v>
      </x:c>
      <x:c r="P32" s="1" t="n">
        <x:f>P29*Assumptions!P39</x:f>
        <x:v>11923.820737943963</x:v>
      </x:c>
      <x:c r="Q32" s="1" t="n">
        <x:f>Q29*Assumptions!Q39</x:f>
        <x:v>12400.773567461723</x:v>
      </x:c>
      <x:c r="R32" s="1" t="n">
        <x:f>R29*Assumptions!R39</x:f>
        <x:v>12896.804510160191</x:v>
      </x:c>
    </x:row>
    <x:row r="33">
      <x:c r="C33" t="str">
        <x:v>Paid prior-year claims</x:v>
      </x:c>
      <x:c r="G33" s="1"/>
      <x:c r="H33" s="18" t="n">
        <x:f>Sources!C113</x:f>
        <x:v>9092</x:v>
      </x:c>
      <x:c r="I33" s="18" t="n">
        <x:f>Sources!C219</x:f>
        <x:v>9470</x:v>
      </x:c>
      <x:c r="J33" s="18" t="n">
        <x:f>Sources!C325</x:f>
        <x:v>10945</x:v>
      </x:c>
      <x:c r="K33" s="18" t="n">
        <x:f>Sources!C431</x:f>
        <x:v>12424</x:v>
      </x:c>
      <x:c r="L33" s="18" t="n">
        <x:f>Sources!C537</x:f>
        <x:v>13227</x:v>
      </x:c>
      <x:c r="M33" s="18" t="n">
        <x:f>Sources!C650</x:f>
        <x:v>13307</x:v>
      </x:c>
      <x:c r="N33" s="16" t="n">
        <x:f>M37*Assumptions!N44</x:f>
        <x:v>13166.12</x:v>
      </x:c>
      <x:c r="O33" s="1" t="n">
        <x:f>N37*Assumptions!O44</x:f>
        <x:v>14119.933554017283</x:v>
      </x:c>
      <x:c r="P33" s="1" t="n">
        <x:f>O37*Assumptions!P44</x:f>
        <x:v>14987.75660141</x:v>
      </x:c>
      <x:c r="Q33" s="1" t="n">
        <x:f>P37*Assumptions!Q44</x:f>
        <x:v>15820.59665849506</x:v>
      </x:c>
      <x:c r="R33" s="1" t="n">
        <x:f>Q37*Assumptions!R44</x:f>
        <x:v>16633.08446546693</x:v>
      </x:c>
    </x:row>
    <x:row r="34">
      <x:c r="C34" t="str">
        <x:v>Total claims paid</x:v>
      </x:c>
      <x:c r="G34" s="1"/>
      <x:c r="H34" s="1" t="n">
        <x:f>H32+H33</x:f>
        <x:v>16589</x:v>
      </x:c>
      <x:c r="I34" s="1" t="n">
        <x:f>I32+I33</x:f>
        <x:v>17871</x:v>
      </x:c>
      <x:c r="J34" s="1" t="n">
        <x:f>J32+J33</x:f>
        <x:v>20351</x:v>
      </x:c>
      <x:c r="K34" s="1" t="n">
        <x:f>K32+K33</x:f>
        <x:v>23276</x:v>
      </x:c>
      <x:c r="L34" s="1" t="n">
        <x:f>L32+L33</x:f>
        <x:v>24151</x:v>
      </x:c>
      <x:c r="M34" s="1" t="n">
        <x:f>M32+M33</x:f>
        <x:v>23913</x:v>
      </x:c>
      <x:c r="N34" s="16" t="n">
        <x:f>N32+N33</x:f>
        <x:v>24259.727320576003</x:v>
      </x:c>
      <x:c r="O34" s="1" t="n">
        <x:f>O32+O33</x:f>
        <x:v>25585.145802040322</x:v>
      </x:c>
      <x:c r="P34" s="1" t="n">
        <x:f>P32+P33</x:f>
        <x:v>26911.577339353964</x:v>
      </x:c>
      <x:c r="Q34" s="1" t="n">
        <x:f>Q32+Q33</x:f>
        <x:v>28221.370225956784</x:v>
      </x:c>
      <x:c r="R34" s="1" t="n">
        <x:f>R32+R33</x:f>
        <x:v>29529.888975627124</x:v>
      </x:c>
    </x:row>
    <x:row r="35">
      <x:c r="C35" t="str">
        <x:v>Reserve FX and other</x:v>
      </x:c>
      <x:c r="G35" s="1"/>
      <x:c r="H35" s="18" t="n">
        <x:f>Sources!C124</x:f>
        <x:v>74</x:v>
      </x:c>
      <x:c r="I35" s="18" t="n">
        <x:f>Sources!C230</x:f>
        <x:v>-12</x:v>
      </x:c>
      <x:c r="J35" s="18" t="n">
        <x:f>Sources!C336</x:f>
        <x:v>-255</x:v>
      </x:c>
      <x:c r="K35" s="18" t="n">
        <x:f>Sources!C442</x:f>
        <x:v>106</x:v>
      </x:c>
      <x:c r="L35" s="18" t="n">
        <x:f>Sources!C548</x:f>
        <x:v>-194</x:v>
      </x:c>
      <x:c r="M35" s="18" t="n">
        <x:f>Sources!C661</x:f>
        <x:v>228</x:v>
      </x:c>
      <x:c r="N35" s="16"/>
      <x:c r="O35" s="1"/>
      <x:c r="P35" s="1"/>
      <x:c r="Q35" s="1"/>
      <x:c r="R35" s="1"/>
    </x:row>
    <x:row r="36">
      <x:c r="C36" t="str">
        <x:v>Accounting adoption adjustment</x:v>
      </x:c>
      <x:c r="G36" s="1"/>
      <x:c r="H36" s="18" t="n">
        <x:f>Sources!C38</x:f>
        <x:v>53</x:v>
      </x:c>
      <x:c r="I36" s="18" t="n">
        <x:f>Sources!C144</x:f>
        <x:v>0</x:v>
      </x:c>
      <x:c r="J36" s="18" t="n">
        <x:f>Sources!C250</x:f>
        <x:v>0</x:v>
      </x:c>
      <x:c r="K36" s="18" t="n">
        <x:f>Sources!C356</x:f>
        <x:v>0</x:v>
      </x:c>
      <x:c r="L36" s="18" t="n">
        <x:f>Sources!C462</x:f>
        <x:v>0</x:v>
      </x:c>
      <x:c r="M36" s="18" t="n">
        <x:f>Sources!C568</x:f>
        <x:v>0</x:v>
      </x:c>
      <x:c r="N36" s="16"/>
      <x:c r="O36" s="1"/>
      <x:c r="P36" s="1"/>
      <x:c r="Q36" s="1"/>
      <x:c r="R36" s="1"/>
    </x:row>
    <x:row r="37">
      <x:c r="C37" s="11" t="str">
        <x:v>Net P&amp;C claims reserves</x:v>
      </x:c>
      <x:c r="D37" s="11"/>
      <x:c r="E37" s="11"/>
      <x:c r="F37" s="11"/>
      <x:c r="G37" s="19" t="n">
        <x:f>Sources!C21</x:f>
        <x:v>43801</x:v>
      </x:c>
      <x:c r="H37" s="19" t="n">
        <x:f>Sources!C102</x:f>
        <x:v>46357</x:v>
      </x:c>
      <x:c r="I37" s="19" t="n">
        <x:f>Sources!C208</x:f>
        <x:v>48688</x:v>
      </x:c>
      <x:c r="J37" s="19" t="n">
        <x:f>Sources!C314</x:f>
        <x:v>50853</x:v>
      </x:c>
      <x:c r="K37" s="19" t="n">
        <x:f>Sources!C420</x:f>
        <x:v>53804</x:v>
      </x:c>
      <x:c r="L37" s="19" t="n">
        <x:f>Sources!C526</x:f>
        <x:v>56419</x:v>
      </x:c>
      <x:c r="M37" s="19" t="n">
        <x:f>Sources!C638</x:f>
        <x:v>59846</x:v>
      </x:c>
      <x:c r="N37" s="17" t="n">
        <x:f>M37+N31-N34</x:f>
        <x:v>64181.51615462401</x:v>
      </x:c>
      <x:c r="O37" s="12" t="n">
        <x:f>N37+O31-O34</x:f>
        <x:v>68126.16637004545</x:v>
      </x:c>
      <x:c r="P37" s="12" t="n">
        <x:f>O37+P31-P34</x:f>
        <x:v>71911.80299315936</x:v>
      </x:c>
      <x:c r="Q37" s="12" t="n">
        <x:f>P37+Q31-Q34</x:f>
        <x:v>75604.92938848605</x:v>
      </x:c>
      <x:c r="R37" s="12" t="n">
        <x:f>Q37+R31-R34</x:f>
        <x:v>79257.95035623772</x:v>
      </x:c>
    </x:row>
    <x:row r="38">
      <x:c r="C38" t="str">
        <x:v>Recoverables on unpaid P&amp;C claims</x:v>
      </x:c>
      <x:c r="G38" s="18" t="n">
        <x:f>Sources!C36</x:f>
        <x:v>8035</x:v>
      </x:c>
      <x:c r="H38" s="18" t="n">
        <x:f>Sources!C142</x:f>
        <x:v>8153</x:v>
      </x:c>
      <x:c r="I38" s="18" t="n">
        <x:f>Sources!C248</x:f>
        <x:v>8209</x:v>
      </x:c>
      <x:c r="J38" s="18" t="n">
        <x:f>Sources!C354</x:f>
        <x:v>7790</x:v>
      </x:c>
      <x:c r="K38" s="18" t="n">
        <x:f>Sources!C460</x:f>
        <x:v>7817</x:v>
      </x:c>
      <x:c r="L38" s="18" t="n">
        <x:f>Sources!C566</x:f>
        <x:v>7669</x:v>
      </x:c>
      <x:c r="M38" s="18" t="n">
        <x:f>Sources!C679</x:f>
        <x:v>7797</x:v>
      </x:c>
      <x:c r="N38" s="16" t="n">
        <x:f>N37*Assumptions!N49/(1-Assumptions!N49)</x:f>
        <x:v>8339.971025742103</x:v>
      </x:c>
      <x:c r="O38" s="1" t="n">
        <x:f>O37*Assumptions!O49/(1-Assumptions!O49)</x:f>
        <x:v>8852.5526921528</x:v>
      </x:c>
      <x:c r="P38" s="1" t="n">
        <x:f>P37*Assumptions!P49/(1-Assumptions!P49)</x:f>
        <x:v>9344.471575382291</x:v>
      </x:c>
      <x:c r="Q38" s="1" t="n">
        <x:f>Q37*Assumptions!Q49/(1-Assumptions!Q49)</x:f>
        <x:v>9824.369355565985</x:v>
      </x:c>
      <x:c r="R38" s="1" t="n">
        <x:f>R37*Assumptions!R49/(1-Assumptions!R49)</x:f>
        <x:v>10299.055696008292</x:v>
      </x:c>
    </x:row>
    <x:row r="39">
      <x:c r="C39" s="11" t="str">
        <x:v>Gross P&amp;C claims reserves</x:v>
      </x:c>
      <x:c r="D39" s="11"/>
      <x:c r="E39" s="11"/>
      <x:c r="F39" s="11"/>
      <x:c r="G39" s="12" t="n">
        <x:f>G37+G38</x:f>
        <x:v>51836</x:v>
      </x:c>
      <x:c r="H39" s="12" t="n">
        <x:f>H37+H38</x:f>
        <x:v>54510</x:v>
      </x:c>
      <x:c r="I39" s="12" t="n">
        <x:f>I37+I38</x:f>
        <x:v>56897</x:v>
      </x:c>
      <x:c r="J39" s="12" t="n">
        <x:f>J37+J38</x:f>
        <x:v>58643</x:v>
      </x:c>
      <x:c r="K39" s="12" t="n">
        <x:f>K37+K38</x:f>
        <x:v>61621</x:v>
      </x:c>
      <x:c r="L39" s="12" t="n">
        <x:f>L37+L38</x:f>
        <x:v>64088</x:v>
      </x:c>
      <x:c r="M39" s="12" t="n">
        <x:f>M37+M38</x:f>
        <x:v>67643</x:v>
      </x:c>
      <x:c r="N39" s="17" t="n">
        <x:f>N37+N38</x:f>
        <x:v>72521.48718036612</x:v>
      </x:c>
      <x:c r="O39" s="12" t="n">
        <x:f>O37+O38</x:f>
        <x:v>76978.71906219824</x:v>
      </x:c>
      <x:c r="P39" s="12" t="n">
        <x:f>P37+P38</x:f>
        <x:v>81256.27456854166</x:v>
      </x:c>
      <x:c r="Q39" s="12" t="n">
        <x:f>Q37+Q38</x:f>
        <x:v>85429.29874405204</x:v>
      </x:c>
      <x:c r="R39" s="12" t="n">
        <x:f>R37+R38</x:f>
        <x:v>89557.00605224601</x:v>
      </x:c>
    </x:row>
    <x:row r="40">
      <x:c r="C40" t="str">
        <x:v>Reserve rollforward difference</x:v>
      </x:c>
      <x:c r="G40" s="1"/>
      <x:c r="H40" s="1" t="n">
        <x:f>G37+H36+H31-H34+H35-H37</x:f>
        <x:v>0</x:v>
      </x:c>
      <x:c r="I40" s="1" t="n">
        <x:f>H37+I36+I31-I34+I35-I37</x:f>
        <x:v>0</x:v>
      </x:c>
      <x:c r="J40" s="1" t="n">
        <x:f>I37+J36+J31-J34+J35-J37</x:f>
        <x:v>0</x:v>
      </x:c>
      <x:c r="K40" s="1" t="n">
        <x:f>J37+K36+K31-K34+K35-K37</x:f>
        <x:v>0</x:v>
      </x:c>
      <x:c r="L40" s="1" t="n">
        <x:f>K37+L36+L31-L34+L35-L37</x:f>
        <x:v>0</x:v>
      </x:c>
      <x:c r="M40" s="1" t="n">
        <x:f>L37+M36+M31-M34+M35-M37</x:f>
        <x:v>0</x:v>
      </x:c>
      <x:c r="N40" s="16" t="n">
        <x:f>M37+N31-N34-N37</x:f>
        <x:v>0</x:v>
      </x:c>
      <x:c r="O40" s="1" t="n">
        <x:f>N37+O31-O34-O37</x:f>
        <x:v>0</x:v>
      </x:c>
      <x:c r="P40" s="1" t="n">
        <x:f>O37+P31-P34-P37</x:f>
        <x:v>0</x:v>
      </x:c>
      <x:c r="Q40" s="1" t="n">
        <x:f>P37+Q31-Q34-Q37</x:f>
        <x:v>0</x:v>
      </x:c>
      <x:c r="R40" s="1" t="n">
        <x:f>Q37+R31-R34-R37</x:f>
        <x:v>0</x:v>
      </x:c>
    </x:row>
    <x:row r="41">
      <x:c r="G41" s="1"/>
      <x:c r="H41" s="1"/>
      <x:c r="I41" s="1"/>
      <x:c r="J41" s="1"/>
      <x:c r="K41" s="1"/>
      <x:c r="L41" s="1"/>
      <x:c r="M41" s="1"/>
      <x:c r="N41" s="16"/>
      <x:c r="O41" s="1"/>
      <x:c r="P41" s="1"/>
      <x:c r="Q41" s="1"/>
      <x:c r="R41" s="1"/>
    </x:row>
    <x:row r="42">
      <x:c r="G42" s="1"/>
      <x:c r="H42" s="1"/>
      <x:c r="I42" s="1"/>
      <x:c r="J42" s="1"/>
      <x:c r="K42" s="1"/>
      <x:c r="L42" s="1"/>
      <x:c r="M42" s="1"/>
      <x:c r="N42" s="16"/>
      <x:c r="O42" s="1"/>
      <x:c r="P42" s="1"/>
      <x:c r="Q42" s="1"/>
      <x:c r="R42" s="1"/>
    </x:row>
    <x:row r="43">
      <x:c r="C43" s="9" t="str">
        <x:v>Reinsurance presentation</x:v>
      </x:c>
      <x:c r="D43" s="9"/>
      <x:c r="E43" s="9"/>
      <x:c r="F43" s="9"/>
      <x:c r="G43" s="10"/>
      <x:c r="H43" s="10"/>
      <x:c r="I43" s="10"/>
      <x:c r="J43" s="10"/>
      <x:c r="K43" s="10"/>
      <x:c r="L43" s="10"/>
      <x:c r="M43" s="10"/>
      <x:c r="N43" s="15"/>
      <x:c r="O43" s="10"/>
      <x:c r="P43" s="10"/>
      <x:c r="Q43" s="10"/>
      <x:c r="R43" s="10"/>
    </x:row>
    <x:row r="44">
      <x:c r="C44" t="str">
        <x:v>Balance-sheet reinsurance recoverables</x:v>
      </x:c>
      <x:c r="G44" s="18" t="n">
        <x:f>Sources!C34</x:f>
        <x:v>8235</x:v>
      </x:c>
      <x:c r="H44" s="18" t="n">
        <x:f>Sources!C139</x:f>
        <x:v>8350</x:v>
      </x:c>
      <x:c r="I44" s="18" t="n">
        <x:f>Sources!C245</x:f>
        <x:v>8452</x:v>
      </x:c>
      <x:c r="J44" s="18" t="n">
        <x:f>Sources!C351</x:f>
        <x:v>8063</x:v>
      </x:c>
      <x:c r="K44" s="18" t="n">
        <x:f>Sources!C457</x:f>
        <x:v>8143</x:v>
      </x:c>
      <x:c r="L44" s="18" t="n">
        <x:f>Sources!C563</x:f>
        <x:v>8000</x:v>
      </x:c>
      <x:c r="M44" s="18" t="n">
        <x:f>Sources!C676</x:f>
        <x:v>7886</x:v>
      </x:c>
      <x:c r="N44" s="16"/>
      <x:c r="O44" s="1"/>
      <x:c r="P44" s="1"/>
      <x:c r="Q44" s="1"/>
      <x:c r="R44" s="1"/>
    </x:row>
    <x:row r="45">
      <x:c r="C45" t="str">
        <x:v>Total less unpaid recoverables; scopes differ</x:v>
      </x:c>
      <x:c r="G45" s="1"/>
      <x:c r="H45" s="1" t="n">
        <x:f>H44-H38</x:f>
        <x:v>197</x:v>
      </x:c>
      <x:c r="I45" s="1" t="n">
        <x:f>I44-I38</x:f>
        <x:v>243</x:v>
      </x:c>
      <x:c r="J45" s="1" t="n">
        <x:f>J44-J38</x:f>
        <x:v>273</x:v>
      </x:c>
      <x:c r="K45" s="1" t="n">
        <x:f>K44-K38</x:f>
        <x:v>326</x:v>
      </x:c>
      <x:c r="L45" s="1" t="n">
        <x:f>L44-L38</x:f>
        <x:v>331</x:v>
      </x:c>
      <x:c r="M45" s="1" t="n">
        <x:f>M44-M38</x:f>
        <x:v>89</x:v>
      </x:c>
      <x:c r="N45" s="16"/>
      <x:c r="O45" s="1"/>
      <x:c r="P45" s="1"/>
      <x:c r="Q45" s="1"/>
      <x:c r="R45" s="1"/>
    </x:row>
    <x:row r="46">
      <x:c r="C46" t="str">
        <x:v>Recoverables held for sale</x:v>
      </x:c>
      <x:c r="G46" s="1"/>
      <x:c r="H46" s="1"/>
      <x:c r="I46" s="1"/>
      <x:c r="J46" s="1"/>
      <x:c r="K46" s="1"/>
      <x:c r="L46" s="1"/>
      <x:c r="M46" s="18" t="n">
        <x:f>Sources!C629</x:f>
        <x:v>285</x:v>
      </x:c>
      <x:c r="N46" s="16"/>
      <x:c r="O46" s="1"/>
      <x:c r="P46" s="1"/>
      <x:c r="Q46" s="1"/>
      <x:c r="R46" s="1"/>
    </x:row>
    <x:row r="47">
      <x:c r="G47" s="1"/>
      <x:c r="H47" s="1"/>
      <x:c r="I47" s="1"/>
      <x:c r="J47" s="1"/>
      <x:c r="K47" s="1"/>
      <x:c r="L47" s="1"/>
      <x:c r="M47" s="1"/>
      <x:c r="N47" s="16"/>
      <x:c r="O47" s="1"/>
      <x:c r="P47" s="1"/>
      <x:c r="Q47" s="1"/>
      <x:c r="R47" s="1"/>
    </x:row>
    <x:row r="48">
      <x:c r="G48" s="1"/>
      <x:c r="H48" s="1"/>
      <x:c r="I48" s="1"/>
      <x:c r="J48" s="1"/>
      <x:c r="K48" s="1"/>
      <x:c r="L48" s="1"/>
      <x:c r="M48" s="1"/>
      <x:c r="N48" s="16"/>
      <x:c r="O48" s="1"/>
      <x:c r="P48" s="1"/>
      <x:c r="Q48" s="1"/>
      <x:c r="R48" s="1"/>
    </x:row>
    <x:row r="49">
      <x:c r="C49" s="9" t="str">
        <x:v>Acquisition costs and GAAP expenses</x:v>
      </x:c>
      <x:c r="D49" s="9"/>
      <x:c r="E49" s="9"/>
      <x:c r="F49" s="9"/>
      <x:c r="G49" s="10"/>
      <x:c r="H49" s="10"/>
      <x:c r="I49" s="10"/>
      <x:c r="J49" s="10"/>
      <x:c r="K49" s="10"/>
      <x:c r="L49" s="10"/>
      <x:c r="M49" s="10"/>
      <x:c r="N49" s="15"/>
      <x:c r="O49" s="10"/>
      <x:c r="P49" s="10"/>
      <x:c r="Q49" s="10"/>
      <x:c r="R49" s="10"/>
    </x:row>
    <x:row r="50">
      <x:c r="C50" t="str">
        <x:v>Deferred acquisition costs</x:v>
      </x:c>
      <x:c r="G50" s="18" t="n">
        <x:f>Sources!C10</x:f>
        <x:v>2273</x:v>
      </x:c>
      <x:c r="H50" s="18" t="n">
        <x:f>Sources!C65</x:f>
        <x:v>2358</x:v>
      </x:c>
      <x:c r="I50" s="18" t="n">
        <x:f>Sources!C171</x:f>
        <x:v>2542</x:v>
      </x:c>
      <x:c r="J50" s="18" t="n">
        <x:f>Sources!C277</x:f>
        <x:v>2836</x:v>
      </x:c>
      <x:c r="K50" s="18" t="n">
        <x:f>Sources!C383</x:f>
        <x:v>3306</x:v>
      </x:c>
      <x:c r="L50" s="18" t="n">
        <x:f>Sources!C489</x:f>
        <x:v>3494</x:v>
      </x:c>
      <x:c r="M50" s="18" t="n">
        <x:f>Sources!C597</x:f>
        <x:v>3518</x:v>
      </x:c>
      <x:c r="N50" s="16"/>
      <x:c r="O50" s="1"/>
      <x:c r="P50" s="1"/>
      <x:c r="Q50" s="1"/>
      <x:c r="R50" s="1"/>
    </x:row>
    <x:row r="51">
      <x:c r="C51" t="str">
        <x:v>Cash-flow DAC additions</x:v>
      </x:c>
      <x:c r="G51" s="1"/>
      <x:c r="H51" s="18" t="n">
        <x:f>Sources!C67</x:f>
        <x:v>4854</x:v>
      </x:c>
      <x:c r="I51" s="18" t="n">
        <x:f>Sources!C173</x:f>
        <x:v>5227</x:v>
      </x:c>
      <x:c r="J51" s="18" t="n">
        <x:f>Sources!C279</x:f>
        <x:v>5824</x:v>
      </x:c>
      <x:c r="K51" s="18" t="n">
        <x:f>Sources!C385</x:f>
        <x:v>6689</x:v>
      </x:c>
      <x:c r="L51" s="18" t="n">
        <x:f>Sources!C491</x:f>
        <x:v>7173</x:v>
      </x:c>
      <x:c r="M51" s="18" t="n">
        <x:f>Sources!C599</x:f>
        <x:v>7373</x:v>
      </x:c>
      <x:c r="N51" s="16"/>
      <x:c r="O51" s="1"/>
      <x:c r="P51" s="1"/>
      <x:c r="Q51" s="1"/>
      <x:c r="R51" s="1"/>
    </x:row>
    <x:row r="52">
      <x:c r="C52" t="str">
        <x:v>DAC amortization</x:v>
      </x:c>
      <x:c r="G52" s="1"/>
      <x:c r="H52" s="18" t="n">
        <x:f>Sources!C66</x:f>
        <x:v>4773</x:v>
      </x:c>
      <x:c r="I52" s="18" t="n">
        <x:f>Sources!C172</x:f>
        <x:v>5043</x:v>
      </x:c>
      <x:c r="J52" s="18" t="n">
        <x:f>Sources!C278</x:f>
        <x:v>5515</x:v>
      </x:c>
      <x:c r="K52" s="18" t="n">
        <x:f>Sources!C384</x:f>
        <x:v>6226</x:v>
      </x:c>
      <x:c r="L52" s="18" t="n">
        <x:f>Sources!C490</x:f>
        <x:v>6973</x:v>
      </x:c>
      <x:c r="M52" s="18" t="n">
        <x:f>Sources!C598</x:f>
        <x:v>7266</x:v>
      </x:c>
      <x:c r="N52" s="16"/>
      <x:c r="O52" s="1"/>
      <x:c r="P52" s="1"/>
      <x:c r="Q52" s="1"/>
      <x:c r="R52" s="1"/>
    </x:row>
    <x:row r="53">
      <x:c r="C53" t="str">
        <x:v>DAC stock difference</x:v>
      </x:c>
      <x:c r="G53" s="1"/>
      <x:c r="H53" s="28" t="n">
        <x:f>H50-(G50+H51-H52)</x:f>
        <x:v>4</x:v>
      </x:c>
      <x:c r="I53" s="28" t="n">
        <x:f>I50-(H50+I51-I52)</x:f>
        <x:v>0</x:v>
      </x:c>
      <x:c r="J53" s="28" t="n">
        <x:f>J50-(I50+J51-J52)</x:f>
        <x:v>-15</x:v>
      </x:c>
      <x:c r="K53" s="28" t="n">
        <x:f>K50-(J50+K51-K52)</x:f>
        <x:v>7</x:v>
      </x:c>
      <x:c r="L53" s="28" t="n">
        <x:f>L50-(K50+L51-L52)</x:f>
        <x:v>-12</x:v>
      </x:c>
      <x:c r="M53" s="28" t="n">
        <x:f>M50-(L50+M51-M52)</x:f>
        <x:v>-83</x:v>
      </x:c>
      <x:c r="N53" s="16"/>
      <x:c r="O53" s="1"/>
      <x:c r="P53" s="1"/>
      <x:c r="Q53" s="1"/>
      <x:c r="R53" s="1"/>
    </x:row>
    <x:row r="54">
      <x:c r="C54" t="str">
        <x:v>General and administrative expenses</x:v>
      </x:c>
      <x:c r="G54" s="1"/>
      <x:c r="H54" s="18" t="n">
        <x:f>Sources!C91</x:f>
        <x:v>4509</x:v>
      </x:c>
      <x:c r="I54" s="18" t="n">
        <x:f>Sources!C197</x:f>
        <x:v>4677</x:v>
      </x:c>
      <x:c r="J54" s="18" t="n">
        <x:f>Sources!C303</x:f>
        <x:v>4810</x:v>
      </x:c>
      <x:c r="K54" s="18" t="n">
        <x:f>Sources!C409</x:f>
        <x:v>5176</x:v>
      </x:c>
      <x:c r="L54" s="18" t="n">
        <x:f>Sources!C515</x:f>
        <x:v>5819</x:v>
      </x:c>
      <x:c r="M54" s="18" t="n">
        <x:f>Sources!C623</x:f>
        <x:v>6120</x:v>
      </x:c>
      <x:c r="N54" s="16"/>
      <x:c r="O54" s="1"/>
      <x:c r="P54" s="1"/>
      <x:c r="Q54" s="1"/>
      <x:c r="R54" s="1"/>
    </x:row>
    <x:row r="55">
      <x:c r="C55" t="str">
        <x:v>GAAP claims and LAE</x:v>
      </x:c>
      <x:c r="G55" s="1"/>
      <x:c r="H55" s="18" t="n">
        <x:f>Sources!C57</x:f>
        <x:v>19123</x:v>
      </x:c>
      <x:c r="I55" s="18" t="n">
        <x:f>Sources!C163</x:f>
        <x:v>20298</x:v>
      </x:c>
      <x:c r="J55" s="18" t="n">
        <x:f>Sources!C269</x:f>
        <x:v>22854</x:v>
      </x:c>
      <x:c r="K55" s="18" t="n">
        <x:f>Sources!C375</x:f>
        <x:v>26215</x:v>
      </x:c>
      <x:c r="L55" s="18" t="n">
        <x:f>Sources!C481</x:f>
        <x:v>27059</x:v>
      </x:c>
      <x:c r="M55" s="18" t="n">
        <x:f>Sources!C589</x:f>
        <x:v>27221</x:v>
      </x:c>
      <x:c r="N55" s="16"/>
      <x:c r="O55" s="1"/>
      <x:c r="P55" s="1"/>
      <x:c r="Q55" s="1"/>
      <x:c r="R55" s="1"/>
    </x:row>
    <x:row r="56">
      <x:c r="C56" t="str">
        <x:v>Illustrative forecast underwriting expenses</x:v>
      </x:c>
      <x:c r="G56" s="1"/>
      <x:c r="H56" s="1"/>
      <x:c r="I56" s="1"/>
      <x:c r="J56" s="1"/>
      <x:c r="K56" s="1"/>
      <x:c r="L56" s="1"/>
      <x:c r="M56" s="1"/>
      <x:c r="N56" s="16" t="n">
        <x:f>N22*Assumptions!N54</x:f>
        <x:v>12544.169462000003</x:v>
      </x:c>
      <x:c r="O56" s="1" t="n">
        <x:f>O22*Assumptions!O54</x:f>
        <x:v>12964.364178480002</x:v>
      </x:c>
      <x:c r="P56" s="1" t="n">
        <x:f>P22*Assumptions!P54</x:f>
        <x:v>13482.938745619202</x:v>
      </x:c>
      <x:c r="Q56" s="1" t="n">
        <x:f>Q22*Assumptions!Q54</x:f>
        <x:v>14022.25629544397</x:v>
      </x:c>
      <x:c r="R56" s="1" t="n">
        <x:f>R22*Assumptions!R54</x:f>
        <x:v>14583.14654726173</x:v>
      </x:c>
    </x:row>
    <x:row r="57">
      <x:c r="G57" s="1"/>
      <x:c r="H57" s="1"/>
      <x:c r="I57" s="1"/>
      <x:c r="J57" s="1"/>
      <x:c r="K57" s="1"/>
      <x:c r="L57" s="1"/>
      <x:c r="M57" s="1"/>
      <x:c r="N57" s="16"/>
      <x:c r="O57" s="1"/>
      <x:c r="P57" s="1"/>
      <x:c r="Q57" s="1"/>
      <x:c r="R57" s="1"/>
    </x:row>
    <x:row r="58">
      <x:c r="G58" s="1"/>
      <x:c r="H58" s="1"/>
      <x:c r="I58" s="1"/>
      <x:c r="J58" s="1"/>
      <x:c r="K58" s="1"/>
      <x:c r="L58" s="1"/>
      <x:c r="M58" s="1"/>
      <x:c r="N58" s="16"/>
      <x:c r="O58" s="1"/>
      <x:c r="P58" s="1"/>
      <x:c r="Q58" s="1"/>
      <x:c r="R58" s="1"/>
    </x:row>
    <x:row r="59">
      <x:c r="C59" s="9" t="str">
        <x:v>Investment portfolio</x:v>
      </x:c>
      <x:c r="D59" s="9"/>
      <x:c r="E59" s="9"/>
      <x:c r="F59" s="9"/>
      <x:c r="G59" s="10"/>
      <x:c r="H59" s="10"/>
      <x:c r="I59" s="10"/>
      <x:c r="J59" s="10"/>
      <x:c r="K59" s="10"/>
      <x:c r="L59" s="10"/>
      <x:c r="M59" s="10"/>
      <x:c r="N59" s="15"/>
      <x:c r="O59" s="10"/>
      <x:c r="P59" s="10"/>
      <x:c r="Q59" s="10"/>
      <x:c r="R59" s="10"/>
    </x:row>
    <x:row r="60">
      <x:c r="C60" t="str">
        <x:v>Fixed maturities at fair value</x:v>
      </x:c>
      <x:c r="G60" s="18" t="n">
        <x:f>Sources!C16</x:f>
        <x:v>68134</x:v>
      </x:c>
      <x:c r="H60" s="18" t="n">
        <x:f>Sources!C87</x:f>
        <x:v>74003</x:v>
      </x:c>
      <x:c r="I60" s="18" t="n">
        <x:f>Sources!C193</x:f>
        <x:v>77810</x:v>
      </x:c>
      <x:c r="J60" s="18" t="n">
        <x:f>Sources!C299</x:f>
        <x:v>71160</x:v>
      </x:c>
      <x:c r="K60" s="18" t="n">
        <x:f>Sources!C405</x:f>
        <x:v>77807</x:v>
      </x:c>
      <x:c r="L60" s="18" t="n">
        <x:f>Sources!C511</x:f>
        <x:v>83666</x:v>
      </x:c>
      <x:c r="M60" s="18" t="n">
        <x:f>Sources!C619</x:f>
        <x:v>89833</x:v>
      </x:c>
      <x:c r="N60" s="16"/>
      <x:c r="O60" s="1"/>
      <x:c r="P60" s="1"/>
      <x:c r="Q60" s="1"/>
      <x:c r="R60" s="1"/>
    </x:row>
    <x:row r="61">
      <x:c r="C61" t="str">
        <x:v>Equity securities</x:v>
      </x:c>
      <x:c r="G61" s="18" t="n">
        <x:f>Sources!C14</x:f>
        <x:v>425</x:v>
      </x:c>
      <x:c r="H61" s="18" t="n">
        <x:f>Sources!C82</x:f>
        <x:v>484</x:v>
      </x:c>
      <x:c r="I61" s="18" t="n">
        <x:f>Sources!C188</x:f>
        <x:v>893</x:v>
      </x:c>
      <x:c r="J61" s="18" t="n">
        <x:f>Sources!C294</x:f>
        <x:v>807</x:v>
      </x:c>
      <x:c r="K61" s="18" t="n">
        <x:f>Sources!C400</x:f>
        <x:v>608</x:v>
      </x:c>
      <x:c r="L61" s="18" t="n">
        <x:f>Sources!C506</x:f>
        <x:v>687</x:v>
      </x:c>
      <x:c r="M61" s="18" t="n">
        <x:f>Sources!C614</x:f>
        <x:v>618</x:v>
      </x:c>
      <x:c r="N61" s="16"/>
      <x:c r="O61" s="1"/>
      <x:c r="P61" s="1"/>
      <x:c r="Q61" s="1"/>
      <x:c r="R61" s="1"/>
    </x:row>
    <x:row r="62">
      <x:c r="C62" t="str">
        <x:v>Real estate investments</x:v>
      </x:c>
      <x:c r="G62" s="18" t="n">
        <x:f>Sources!C27</x:f>
        <x:v>963</x:v>
      </x:c>
      <x:c r="H62" s="18" t="n">
        <x:f>Sources!C116</x:f>
        <x:v>1026</x:v>
      </x:c>
      <x:c r="I62" s="18" t="n">
        <x:f>Sources!C222</x:f>
        <x:v>979</x:v>
      </x:c>
      <x:c r="J62" s="18" t="n">
        <x:f>Sources!C328</x:f>
        <x:v>952</x:v>
      </x:c>
      <x:c r="K62" s="18" t="n">
        <x:f>Sources!C434</x:f>
        <x:v>959</x:v>
      </x:c>
      <x:c r="L62" s="18" t="n">
        <x:f>Sources!C540</x:f>
        <x:v>902</x:v>
      </x:c>
      <x:c r="M62" s="18" t="n">
        <x:f>Sources!C653</x:f>
        <x:v>900</x:v>
      </x:c>
      <x:c r="N62" s="16"/>
      <x:c r="O62" s="1"/>
      <x:c r="P62" s="1"/>
      <x:c r="Q62" s="1"/>
      <x:c r="R62" s="1"/>
    </x:row>
    <x:row r="63">
      <x:c r="C63" t="str">
        <x:v>Short-term investments</x:v>
      </x:c>
      <x:c r="G63" s="18" t="n">
        <x:f>Sources!C30</x:f>
        <x:v>4943</x:v>
      </x:c>
      <x:c r="H63" s="18" t="n">
        <x:f>Sources!C130</x:f>
        <x:v>5511</x:v>
      </x:c>
      <x:c r="I63" s="18" t="n">
        <x:f>Sources!C236</x:f>
        <x:v>3836</x:v>
      </x:c>
      <x:c r="J63" s="18" t="n">
        <x:f>Sources!C342</x:f>
        <x:v>3470</x:v>
      </x:c>
      <x:c r="K63" s="18" t="n">
        <x:f>Sources!C448</x:f>
        <x:v>5137</x:v>
      </x:c>
      <x:c r="L63" s="18" t="n">
        <x:f>Sources!C554</x:f>
        <x:v>4766</x:v>
      </x:c>
      <x:c r="M63" s="18" t="n">
        <x:f>Sources!C667</x:f>
        <x:v>5716</x:v>
      </x:c>
      <x:c r="N63" s="16"/>
      <x:c r="O63" s="1"/>
      <x:c r="P63" s="1"/>
      <x:c r="Q63" s="1"/>
      <x:c r="R63" s="1"/>
    </x:row>
    <x:row r="64">
      <x:c r="C64" t="str">
        <x:v>Other investments</x:v>
      </x:c>
      <x:c r="G64" s="18" t="n">
        <x:f>Sources!C24</x:f>
        <x:v>3419</x:v>
      </x:c>
      <x:c r="H64" s="18" t="n">
        <x:f>Sources!C109</x:f>
        <x:v>3399</x:v>
      </x:c>
      <x:c r="I64" s="18" t="n">
        <x:f>Sources!C215</x:f>
        <x:v>3857</x:v>
      </x:c>
      <x:c r="J64" s="18" t="n">
        <x:f>Sources!C321</x:f>
        <x:v>4065</x:v>
      </x:c>
      <x:c r="K64" s="18" t="n">
        <x:f>Sources!C427</x:f>
        <x:v>4299</x:v>
      </x:c>
      <x:c r="L64" s="18" t="n">
        <x:f>Sources!C533</x:f>
        <x:v>4202</x:v>
      </x:c>
      <x:c r="M64" s="18" t="n">
        <x:f>Sources!C646</x:f>
        <x:v>4115</x:v>
      </x:c>
      <x:c r="N64" s="16"/>
      <x:c r="O64" s="1"/>
      <x:c r="P64" s="1"/>
      <x:c r="Q64" s="1"/>
      <x:c r="R64" s="1"/>
    </x:row>
    <x:row r="65">
      <x:c r="C65" s="11" t="str">
        <x:v>Total investments</x:v>
      </x:c>
      <x:c r="D65" s="11"/>
      <x:c r="E65" s="11"/>
      <x:c r="F65" s="11"/>
      <x:c r="G65" s="12" t="n">
        <x:f>SUM(G60,G61,G62,G63,G64)</x:f>
        <x:v>77884</x:v>
      </x:c>
      <x:c r="H65" s="12" t="n">
        <x:f>SUM(H60,H61,H62,H63,H64)</x:f>
        <x:v>84423</x:v>
      </x:c>
      <x:c r="I65" s="12" t="n">
        <x:f>SUM(I60,I61,I62,I63,I64)</x:f>
        <x:v>87375</x:v>
      </x:c>
      <x:c r="J65" s="12" t="n">
        <x:f>SUM(J60,J61,J62,J63,J64)</x:f>
        <x:v>80454</x:v>
      </x:c>
      <x:c r="K65" s="12" t="n">
        <x:f>SUM(K60,K61,K62,K63,K64)</x:f>
        <x:v>88810</x:v>
      </x:c>
      <x:c r="L65" s="12" t="n">
        <x:f>SUM(L60,L61,L62,L63,L64)</x:f>
        <x:v>94223</x:v>
      </x:c>
      <x:c r="M65" s="12" t="n">
        <x:f>SUM(M60,M61,M62,M63,M64)</x:f>
        <x:v>101182</x:v>
      </x:c>
      <x:c r="N65" s="17"/>
      <x:c r="O65" s="12"/>
      <x:c r="P65" s="12"/>
      <x:c r="Q65" s="12"/>
      <x:c r="R65" s="12"/>
    </x:row>
    <x:row r="66">
      <x:c r="C66" t="str">
        <x:v>Investment cash purchases</x:v>
      </x:c>
      <x:c r="G66" s="1"/>
      <x:c r="H66" s="1" t="n">
        <x:f>SUM(Sources!C89,Sources!C83,Sources!C117,Sources!C107)</x:f>
        <x:v>14785</x:v>
      </x:c>
      <x:c r="I66" s="1" t="n">
        <x:f>SUM(Sources!C195,Sources!C189,Sources!C223,Sources!C213)</x:f>
        <x:v>19108</x:v>
      </x:c>
      <x:c r="J66" s="1" t="n">
        <x:f>SUM(Sources!C301,Sources!C295,Sources!C329,Sources!C319)</x:f>
        <x:v>16659</x:v>
      </x:c>
      <x:c r="K66" s="1" t="n">
        <x:f>SUM(Sources!C407,Sources!C401,Sources!C435,Sources!C425)</x:f>
        <x:v>16357</x:v>
      </x:c>
      <x:c r="L66" s="1" t="n">
        <x:f>SUM(Sources!C513,Sources!C507,Sources!C541,Sources!C531)</x:f>
        <x:v>17700</x:v>
      </x:c>
      <x:c r="M66" s="1" t="n">
        <x:f>SUM(Sources!C621,Sources!C615,Sources!C654,Sources!C644)</x:f>
        <x:v>19291</x:v>
      </x:c>
      <x:c r="N66" s="16"/>
      <x:c r="O66" s="1"/>
      <x:c r="P66" s="1"/>
      <x:c r="Q66" s="1"/>
      <x:c r="R66" s="1"/>
    </x:row>
    <x:row r="67">
      <x:c r="C67" t="str">
        <x:v>Investment maturity and sale proceeds</x:v>
      </x:c>
      <x:c r="G67" s="1"/>
      <x:c r="H67" s="1" t="n">
        <x:f>SUM(Sources!C88,Sources!C90,Sources!C84,Sources!C118,Sources!C108)</x:f>
        <x:v>10836</x:v>
      </x:c>
      <x:c r="I67" s="1" t="n">
        <x:f>SUM(Sources!C194,Sources!C196,Sources!C190,Sources!C224,Sources!C214)</x:f>
        <x:v>12577</x:v>
      </x:c>
      <x:c r="J67" s="1" t="n">
        <x:f>SUM(Sources!C300,Sources!C302,Sources!C296,Sources!C330,Sources!C320)</x:f>
        <x:v>12944</x:v>
      </x:c>
      <x:c r="K67" s="1" t="n">
        <x:f>SUM(Sources!C406,Sources!C408,Sources!C402,Sources!C436,Sources!C426)</x:f>
        <x:v>11745</x:v>
      </x:c>
      <x:c r="L67" s="1" t="n">
        <x:f>SUM(Sources!C512,Sources!C514,Sources!C508,Sources!C542,Sources!C532)</x:f>
        <x:v>10800</x:v>
      </x:c>
      <x:c r="M67" s="1" t="n">
        <x:f>SUM(Sources!C620,Sources!C622,Sources!C616,Sources!C655,Sources!C645)</x:f>
        <x:v>12973</x:v>
      </x:c>
      <x:c r="N67" s="16"/>
      <x:c r="O67" s="1"/>
      <x:c r="P67" s="1"/>
      <x:c r="Q67" s="1"/>
      <x:c r="R67" s="1"/>
    </x:row>
    <x:row r="68">
      <x:c r="C68" t="str">
        <x:v>Net sales of short-term securities</x:v>
      </x:c>
      <x:c r="G68" s="1"/>
      <x:c r="H68" s="18" t="n">
        <x:f>Sources!C131</x:f>
        <x:v>-566</x:v>
      </x:c>
      <x:c r="I68" s="18" t="n">
        <x:f>Sources!C237</x:f>
        <x:v>1671</x:v>
      </x:c>
      <x:c r="J68" s="18" t="n">
        <x:f>Sources!C343</x:f>
        <x:v>355</x:v>
      </x:c>
      <x:c r="K68" s="18" t="n">
        <x:f>Sources!C449</x:f>
        <x:v>-1664</x:v>
      </x:c>
      <x:c r="L68" s="18" t="n">
        <x:f>Sources!C555</x:f>
        <x:v>370</x:v>
      </x:c>
      <x:c r="M68" s="18" t="n">
        <x:f>Sources!C668</x:f>
        <x:v>-945</x:v>
      </x:c>
      <x:c r="N68" s="16"/>
      <x:c r="O68" s="1"/>
      <x:c r="P68" s="1"/>
      <x:c r="Q68" s="1"/>
      <x:c r="R68" s="1"/>
    </x:row>
    <x:row r="69">
      <x:c r="C69" t="str">
        <x:v>Investment balance less cash proxy</x:v>
      </x:c>
      <x:c r="G69" s="1"/>
      <x:c r="H69" s="28" t="n">
        <x:f>H65-G65-(H66-H67-H68)</x:f>
        <x:v>2024</x:v>
      </x:c>
      <x:c r="I69" s="28" t="n">
        <x:f>I65-H65-(I66-I67-I68)</x:f>
        <x:v>-1908</x:v>
      </x:c>
      <x:c r="J69" s="28" t="n">
        <x:f>J65-I65-(J66-J67-J68)</x:f>
        <x:v>-10281</x:v>
      </x:c>
      <x:c r="K69" s="28" t="n">
        <x:f>K65-J65-(K66-K67-K68)</x:f>
        <x:v>2080</x:v>
      </x:c>
      <x:c r="L69" s="28" t="n">
        <x:f>L65-K65-(L66-L67-L68)</x:f>
        <x:v>-1117</x:v>
      </x:c>
      <x:c r="M69" s="28" t="n">
        <x:f>M65-L65-(M66-M67-M68)</x:f>
        <x:v>-304</x:v>
      </x:c>
      <x:c r="N69" s="16"/>
      <x:c r="O69" s="1"/>
      <x:c r="P69" s="1"/>
      <x:c r="Q69" s="1"/>
      <x:c r="R69" s="1"/>
    </x:row>
    <x:row r="70">
      <x:c r="C70" t="str">
        <x:v>Net investment income</x:v>
      </x:c>
      <x:c r="G70" s="1"/>
      <x:c r="H70" s="18" t="n">
        <x:f>Sources!C99</x:f>
        <x:v>2227</x:v>
      </x:c>
      <x:c r="I70" s="18" t="n">
        <x:f>Sources!C205</x:f>
        <x:v>3033</x:v>
      </x:c>
      <x:c r="J70" s="18" t="n">
        <x:f>Sources!C311</x:f>
        <x:v>2562</x:v>
      </x:c>
      <x:c r="K70" s="18" t="n">
        <x:f>Sources!C417</x:f>
        <x:v>2922</x:v>
      </x:c>
      <x:c r="L70" s="18" t="n">
        <x:f>Sources!C523</x:f>
        <x:v>3590</x:v>
      </x:c>
      <x:c r="M70" s="18" t="n">
        <x:f>Sources!C634</x:f>
        <x:v>3959</x:v>
      </x:c>
      <x:c r="N70" s="16"/>
      <x:c r="O70" s="1"/>
      <x:c r="P70" s="1"/>
      <x:c r="Q70" s="1"/>
      <x:c r="R70" s="1"/>
    </x:row>
    <x:row r="71">
      <x:c r="C71" t="str">
        <x:v>Average invested assets</x:v>
      </x:c>
      <x:c r="G71" s="1"/>
      <x:c r="H71" s="1" t="n">
        <x:f>(H65+G65)/2</x:f>
        <x:v>81153.5</x:v>
      </x:c>
      <x:c r="I71" s="1" t="n">
        <x:f>(I65+H65)/2</x:f>
        <x:v>85899</x:v>
      </x:c>
      <x:c r="J71" s="1" t="n">
        <x:f>(J65+I65)/2</x:f>
        <x:v>83914.5</x:v>
      </x:c>
      <x:c r="K71" s="1" t="n">
        <x:f>(K65+J65)/2</x:f>
        <x:v>84632</x:v>
      </x:c>
      <x:c r="L71" s="1" t="n">
        <x:f>(L65+K65)/2</x:f>
        <x:v>91516.5</x:v>
      </x:c>
      <x:c r="M71" s="1" t="n">
        <x:f>(M65+L65)/2</x:f>
        <x:v>97702.5</x:v>
      </x:c>
      <x:c r="N71" s="16"/>
      <x:c r="O71" s="1"/>
      <x:c r="P71" s="1"/>
      <x:c r="Q71" s="1"/>
      <x:c r="R71" s="1"/>
    </x:row>
    <x:row r="72">
      <x:c r="C72" s="24" t="str">
        <x:v>Investment income / average investments</x:v>
      </x:c>
      <x:c r="D72" s="24"/>
      <x:c r="E72" s="24"/>
      <x:c r="F72" s="24"/>
      <x:c r="G72" s="25"/>
      <x:c r="H72" s="26" t="n">
        <x:f>H70/H71</x:f>
        <x:v>0.0274418232115682</x:v>
      </x:c>
      <x:c r="I72" s="26" t="n">
        <x:f>I70/I71</x:f>
        <x:v>0.03530890930045751</x:v>
      </x:c>
      <x:c r="J72" s="26" t="n">
        <x:f>J70/J71</x:f>
        <x:v>0.030531076274064674</x:v>
      </x:c>
      <x:c r="K72" s="26" t="n">
        <x:f>K70/K71</x:f>
        <x:v>0.03452594763210133</x:v>
      </x:c>
      <x:c r="L72" s="26" t="n">
        <x:f>L70/L71</x:f>
        <x:v>0.03922789879420651</x:v>
      </x:c>
      <x:c r="M72" s="26" t="n">
        <x:f>M70/M71</x:f>
        <x:v>0.040520969268954224</x:v>
      </x:c>
      <x:c r="N72" s="27"/>
      <x:c r="O72" s="25"/>
      <x:c r="P72" s="25"/>
      <x:c r="Q72" s="25"/>
      <x:c r="R72" s="25"/>
    </x:row>
    <x:row r="73">
      <x:c r="G73" s="1"/>
      <x:c r="H73" s="1"/>
      <x:c r="I73" s="1"/>
      <x:c r="J73" s="1"/>
      <x:c r="K73" s="1"/>
      <x:c r="L73" s="1"/>
      <x:c r="M73" s="1"/>
      <x:c r="N73" s="16"/>
      <x:c r="O73" s="1"/>
      <x:c r="P73" s="1"/>
      <x:c r="Q73" s="1"/>
      <x:c r="R73" s="1"/>
    </x:row>
    <x:row r="74">
      <x:c r="G74" s="1"/>
      <x:c r="H74" s="1"/>
      <x:c r="I74" s="1"/>
      <x:c r="J74" s="1"/>
      <x:c r="K74" s="1"/>
      <x:c r="L74" s="1"/>
      <x:c r="M74" s="1"/>
      <x:c r="N74" s="16"/>
      <x:c r="O74" s="1"/>
      <x:c r="P74" s="1"/>
      <x:c r="Q74" s="1"/>
      <x:c r="R74" s="1"/>
    </x:row>
    <x:row r="75">
      <x:c r="C75" s="9" t="str">
        <x:v>Common equity</x:v>
      </x:c>
      <x:c r="D75" s="9"/>
      <x:c r="E75" s="9"/>
      <x:c r="F75" s="9"/>
      <x:c r="G75" s="10"/>
      <x:c r="H75" s="10"/>
      <x:c r="I75" s="10"/>
      <x:c r="J75" s="10"/>
      <x:c r="K75" s="10"/>
      <x:c r="L75" s="10"/>
      <x:c r="M75" s="10"/>
      <x:c r="N75" s="15"/>
      <x:c r="O75" s="10"/>
      <x:c r="P75" s="10"/>
      <x:c r="Q75" s="10"/>
      <x:c r="R75" s="10"/>
    </x:row>
    <x:row r="76">
      <x:c r="C76" t="str">
        <x:v>Opening common equity</x:v>
      </x:c>
      <x:c r="G76" s="1"/>
      <x:c r="H76" s="1" t="n">
        <x:f>G86</x:f>
        <x:v>25943</x:v>
      </x:c>
      <x:c r="I76" s="1" t="n">
        <x:f>H86</x:f>
        <x:v>29201</x:v>
      </x:c>
      <x:c r="J76" s="1" t="n">
        <x:f>I86</x:f>
        <x:v>28887</x:v>
      </x:c>
      <x:c r="K76" s="1" t="n">
        <x:f>J86</x:f>
        <x:v>21560</x:v>
      </x:c>
      <x:c r="L76" s="1" t="n">
        <x:f>K86</x:f>
        <x:v>24921</x:v>
      </x:c>
      <x:c r="M76" s="1" t="n">
        <x:f>L86</x:f>
        <x:v>27864</x:v>
      </x:c>
      <x:c r="N76" s="16"/>
      <x:c r="O76" s="1"/>
      <x:c r="P76" s="1"/>
      <x:c r="Q76" s="1"/>
      <x:c r="R76" s="1"/>
    </x:row>
    <x:row r="77">
      <x:c r="C77" t="str">
        <x:v>Net income</x:v>
      </x:c>
      <x:c r="G77" s="1"/>
      <x:c r="H77" s="18" t="n">
        <x:f>Sources!C101</x:f>
        <x:v>2697</x:v>
      </x:c>
      <x:c r="I77" s="18" t="n">
        <x:f>Sources!C207</x:f>
        <x:v>3662</x:v>
      </x:c>
      <x:c r="J77" s="18" t="n">
        <x:f>Sources!C313</x:f>
        <x:v>2842</x:v>
      </x:c>
      <x:c r="K77" s="18" t="n">
        <x:f>Sources!C419</x:f>
        <x:v>2991</x:v>
      </x:c>
      <x:c r="L77" s="18" t="n">
        <x:f>Sources!C525</x:f>
        <x:v>4999</x:v>
      </x:c>
      <x:c r="M77" s="18" t="n">
        <x:f>Sources!C637</x:f>
        <x:v>6288</x:v>
      </x:c>
      <x:c r="N77" s="16"/>
      <x:c r="O77" s="1"/>
      <x:c r="P77" s="1"/>
      <x:c r="Q77" s="1"/>
      <x:c r="R77" s="1"/>
    </x:row>
    <x:row r="78">
      <x:c r="C78" t="str">
        <x:v>Other comprehensive income</x:v>
      </x:c>
      <x:c r="G78" s="1"/>
      <x:c r="H78" s="18" t="n">
        <x:f>Sources!C138</x:f>
        <x:v>1862</x:v>
      </x:c>
      <x:c r="I78" s="18" t="n">
        <x:f>Sources!C244</x:f>
        <x:v>-1309</x:v>
      </x:c>
      <x:c r="J78" s="18" t="n">
        <x:f>Sources!C350</x:f>
        <x:v>-7638</x:v>
      </x:c>
      <x:c r="K78" s="18" t="n">
        <x:f>Sources!C456</x:f>
        <x:v>1974</x:v>
      </x:c>
      <x:c r="L78" s="18" t="n">
        <x:f>Sources!C562</x:f>
        <x:v>-496</x:v>
      </x:c>
      <x:c r="M78" s="18" t="n">
        <x:f>Sources!C675</x:f>
        <x:v>2467</x:v>
      </x:c>
      <x:c r="N78" s="16"/>
      <x:c r="O78" s="1"/>
      <x:c r="P78" s="1"/>
      <x:c r="Q78" s="1"/>
      <x:c r="R78" s="1"/>
    </x:row>
    <x:row r="79">
      <x:c r="C79" t="str">
        <x:v>Employee share issuances</x:v>
      </x:c>
      <x:c r="G79" s="1"/>
      <x:c r="H79" s="18" t="n">
        <x:f>Sources!C77</x:f>
        <x:v>123</x:v>
      </x:c>
      <x:c r="I79" s="18" t="n">
        <x:f>Sources!C183</x:f>
        <x:v>247</x:v>
      </x:c>
      <x:c r="J79" s="18" t="n">
        <x:f>Sources!C289</x:f>
        <x:v>227</x:v>
      </x:c>
      <x:c r="K79" s="18" t="n">
        <x:f>Sources!C395</x:f>
        <x:v>125</x:v>
      </x:c>
      <x:c r="L79" s="18" t="n">
        <x:f>Sources!C501</x:f>
        <x:v>286</x:v>
      </x:c>
      <x:c r="M79" s="18" t="n">
        <x:f>Sources!C609</x:f>
        <x:v>202</x:v>
      </x:c>
      <x:c r="N79" s="16"/>
      <x:c r="O79" s="1"/>
      <x:c r="P79" s="1"/>
      <x:c r="Q79" s="1"/>
      <x:c r="R79" s="1"/>
    </x:row>
    <x:row r="80">
      <x:c r="C80" t="str">
        <x:v>Share compensation and other</x:v>
      </x:c>
      <x:c r="G80" s="1"/>
      <x:c r="H80" s="18" t="n">
        <x:f>Sources!C132</x:f>
        <x:v>151</x:v>
      </x:c>
      <x:c r="I80" s="18" t="n">
        <x:f>Sources!C238</x:f>
        <x:v>164</x:v>
      </x:c>
      <x:c r="J80" s="18" t="n">
        <x:f>Sources!C344</x:f>
        <x:v>184</x:v>
      </x:c>
      <x:c r="K80" s="18" t="n">
        <x:f>Sources!C450</x:f>
        <x:v>216</x:v>
      </x:c>
      <x:c r="L80" s="18" t="n">
        <x:f>Sources!C556</x:f>
        <x:v>260</x:v>
      </x:c>
      <x:c r="M80" s="18" t="n">
        <x:f>Sources!C669</x:f>
        <x:v>256</x:v>
      </x:c>
      <x:c r="N80" s="16"/>
      <x:c r="O80" s="1"/>
      <x:c r="P80" s="1"/>
      <x:c r="Q80" s="1"/>
      <x:c r="R80" s="1"/>
    </x:row>
    <x:row r="81">
      <x:c r="C81" t="str">
        <x:v>Other retained earnings</x:v>
      </x:c>
      <x:c r="G81" s="1"/>
      <x:c r="H81" s="18" t="n">
        <x:f>Sources!C128</x:f>
        <x:v>4</x:v>
      </x:c>
      <x:c r="I81" s="18" t="n">
        <x:f>Sources!C234</x:f>
        <x:v>-2</x:v>
      </x:c>
      <x:c r="J81" s="18" t="n">
        <x:f>Sources!C340</x:f>
        <x:v>-1</x:v>
      </x:c>
      <x:c r="K81" s="18" t="n">
        <x:f>Sources!C446</x:f>
        <x:v>-1</x:v>
      </x:c>
      <x:c r="L81" s="18" t="n">
        <x:f>Sources!C552</x:f>
        <x:v>2</x:v>
      </x:c>
      <x:c r="M81" s="18" t="n">
        <x:f>Sources!C665</x:f>
        <x:v>0</x:v>
      </x:c>
      <x:c r="N81" s="16"/>
      <x:c r="O81" s="1"/>
      <x:c r="P81" s="1"/>
      <x:c r="Q81" s="1"/>
      <x:c r="R81" s="1"/>
    </x:row>
    <x:row r="82">
      <x:c r="C82" t="str">
        <x:v>Accounting adoption</x:v>
      </x:c>
      <x:c r="G82" s="1"/>
      <x:c r="H82" s="18" t="n">
        <x:f>Sources!C39</x:f>
        <x:v>-43</x:v>
      </x:c>
      <x:c r="I82" s="18" t="n">
        <x:f>Sources!C145</x:f>
        <x:v>0</x:v>
      </x:c>
      <x:c r="J82" s="18" t="n">
        <x:f>Sources!C251</x:f>
        <x:v>0</x:v>
      </x:c>
      <x:c r="K82" s="18" t="n">
        <x:f>Sources!C357</x:f>
        <x:v>0</x:v>
      </x:c>
      <x:c r="L82" s="18" t="n">
        <x:f>Sources!C463</x:f>
        <x:v>0</x:v>
      </x:c>
      <x:c r="M82" s="18" t="n">
        <x:f>Sources!C569</x:f>
        <x:v>0</x:v>
      </x:c>
      <x:c r="N82" s="16"/>
      <x:c r="O82" s="1"/>
      <x:c r="P82" s="1"/>
      <x:c r="Q82" s="1"/>
      <x:c r="R82" s="1"/>
    </x:row>
    <x:row r="83">
      <x:c r="C83" t="str">
        <x:v>Declared dividends</x:v>
      </x:c>
      <x:c r="G83" s="1"/>
      <x:c r="H83" s="18" t="n">
        <x:f>Sources!C80</x:f>
        <x:v>864</x:v>
      </x:c>
      <x:c r="I83" s="18" t="n">
        <x:f>Sources!C186</x:f>
        <x:v>876</x:v>
      </x:c>
      <x:c r="J83" s="18" t="n">
        <x:f>Sources!C292</x:f>
        <x:v>880</x:v>
      </x:c>
      <x:c r="K83" s="18" t="n">
        <x:f>Sources!C398</x:f>
        <x:v>915</x:v>
      </x:c>
      <x:c r="L83" s="18" t="n">
        <x:f>Sources!C504</x:f>
        <x:v>962</x:v>
      </x:c>
      <x:c r="M83" s="18" t="n">
        <x:f>Sources!C612</x:f>
        <x:v>987</x:v>
      </x:c>
      <x:c r="N83" s="16"/>
      <x:c r="O83" s="1"/>
      <x:c r="P83" s="1"/>
      <x:c r="Q83" s="1"/>
      <x:c r="R83" s="1"/>
    </x:row>
    <x:row r="84">
      <x:c r="C84" t="str">
        <x:v>Authorized buybacks</x:v>
      </x:c>
      <x:c r="G84" s="1"/>
      <x:c r="H84" s="18" t="n">
        <x:f>Sources!C79</x:f>
        <x:v>625</x:v>
      </x:c>
      <x:c r="I84" s="18" t="n">
        <x:f>Sources!C185</x:f>
        <x:v>2156</x:v>
      </x:c>
      <x:c r="J84" s="18" t="n">
        <x:f>Sources!C291</x:f>
        <x:v>2000</x:v>
      </x:c>
      <x:c r="K84" s="18" t="n">
        <x:f>Sources!C397</x:f>
        <x:v>965</x:v>
      </x:c>
      <x:c r="L84" s="18" t="n">
        <x:f>Sources!C503</x:f>
        <x:v>1000</x:v>
      </x:c>
      <x:c r="M84" s="18" t="n">
        <x:f>Sources!C611</x:f>
        <x:v>3025</x:v>
      </x:c>
      <x:c r="N84" s="16"/>
      <x:c r="O84" s="1"/>
      <x:c r="P84" s="1"/>
      <x:c r="Q84" s="1"/>
      <x:c r="R84" s="1"/>
    </x:row>
    <x:row r="85">
      <x:c r="C85" t="str">
        <x:v>Employee treasury shares</x:v>
      </x:c>
      <x:c r="G85" s="1"/>
      <x:c r="H85" s="18" t="n">
        <x:f>Sources!C81</x:f>
        <x:v>47</x:v>
      </x:c>
      <x:c r="I85" s="18" t="n">
        <x:f>Sources!C187</x:f>
        <x:v>44</x:v>
      </x:c>
      <x:c r="J85" s="18" t="n">
        <x:f>Sources!C293</x:f>
        <x:v>61</x:v>
      </x:c>
      <x:c r="K85" s="18" t="n">
        <x:f>Sources!C399</x:f>
        <x:v>64</x:v>
      </x:c>
      <x:c r="L85" s="18" t="n">
        <x:f>Sources!C505</x:f>
        <x:v>146</x:v>
      </x:c>
      <x:c r="M85" s="18" t="n">
        <x:f>Sources!C613</x:f>
        <x:v>171</x:v>
      </x:c>
      <x:c r="N85" s="16"/>
      <x:c r="O85" s="1"/>
      <x:c r="P85" s="1"/>
      <x:c r="Q85" s="1"/>
      <x:c r="R85" s="1"/>
    </x:row>
    <x:row r="86">
      <x:c r="C86" s="11" t="str">
        <x:v>Closing common equity</x:v>
      </x:c>
      <x:c r="D86" s="11"/>
      <x:c r="E86" s="11"/>
      <x:c r="F86" s="11"/>
      <x:c r="G86" s="19" t="n">
        <x:f>Sources!C13</x:f>
        <x:v>25943</x:v>
      </x:c>
      <x:c r="H86" s="19" t="n">
        <x:f>Sources!C59</x:f>
        <x:v>29201</x:v>
      </x:c>
      <x:c r="I86" s="19" t="n">
        <x:f>Sources!C165</x:f>
        <x:v>28887</x:v>
      </x:c>
      <x:c r="J86" s="19" t="n">
        <x:f>Sources!C271</x:f>
        <x:v>21560</x:v>
      </x:c>
      <x:c r="K86" s="19" t="n">
        <x:f>Sources!C377</x:f>
        <x:v>24921</x:v>
      </x:c>
      <x:c r="L86" s="19" t="n">
        <x:f>Sources!C483</x:f>
        <x:v>27864</x:v>
      </x:c>
      <x:c r="M86" s="19" t="n">
        <x:f>Sources!C591</x:f>
        <x:v>32894</x:v>
      </x:c>
      <x:c r="N86" s="17"/>
      <x:c r="O86" s="12"/>
      <x:c r="P86" s="12"/>
      <x:c r="Q86" s="12"/>
      <x:c r="R86" s="12"/>
    </x:row>
    <x:row r="87">
      <x:c r="C87" t="str">
        <x:v>Equity rollforward difference</x:v>
      </x:c>
      <x:c r="G87" s="1"/>
      <x:c r="H87" s="1" t="n">
        <x:f>H76+SUM(H77,H78,H79,H80,H81,H82)-SUM(H83,H84,H85)-H86</x:f>
        <x:v>0</x:v>
      </x:c>
      <x:c r="I87" s="1" t="n">
        <x:f>I76+SUM(I77,I78,I79,I80,I81,I82)-SUM(I83,I84,I85)-I86</x:f>
        <x:v>0</x:v>
      </x:c>
      <x:c r="J87" s="1" t="n">
        <x:f>J76+SUM(J77,J78,J79,J80,J81,J82)-SUM(J83,J84,J85)-J86</x:f>
        <x:v>0</x:v>
      </x:c>
      <x:c r="K87" s="1" t="n">
        <x:f>K76+SUM(K77,K78,K79,K80,K81,K82)-SUM(K83,K84,K85)-K86</x:f>
        <x:v>0</x:v>
      </x:c>
      <x:c r="L87" s="1" t="n">
        <x:f>L76+SUM(L77,L78,L79,L80,L81,L82)-SUM(L83,L84,L85)-L86</x:f>
        <x:v>0</x:v>
      </x:c>
      <x:c r="M87" s="1" t="n">
        <x:f>M76+SUM(M77,M78,M79,M80,M81,M82)-SUM(M83,M84,M85)-M86</x:f>
        <x:v>0</x:v>
      </x:c>
      <x:c r="N87" s="16"/>
      <x:c r="O87" s="1"/>
      <x:c r="P87" s="1"/>
      <x:c r="Q87" s="1"/>
      <x:c r="R87" s="1"/>
    </x:row>
    <x:row r="88">
      <x:c r="C88" t="str">
        <x:v>Ending common shares, millions</x:v>
      </x:c>
      <x:c r="G88" s="1"/>
      <x:c r="H88" s="18" t="n">
        <x:f>Sources!C60</x:f>
        <x:v>252.4</x:v>
      </x:c>
      <x:c r="I88" s="18" t="n">
        <x:f>Sources!C166</x:f>
        <x:v>241.2</x:v>
      </x:c>
      <x:c r="J88" s="18" t="n">
        <x:f>Sources!C272</x:f>
        <x:v>232.1</x:v>
      </x:c>
      <x:c r="K88" s="18" t="n">
        <x:f>Sources!C378</x:f>
        <x:v>228.2</x:v>
      </x:c>
      <x:c r="L88" s="18" t="n">
        <x:f>Sources!C484</x:f>
        <x:v>226.6</x:v>
      </x:c>
      <x:c r="M88" s="18" t="n">
        <x:f>Sources!C592</x:f>
        <x:v>217.5</x:v>
      </x:c>
      <x:c r="N88" s="16"/>
      <x:c r="O88" s="1"/>
      <x:c r="P88" s="1"/>
      <x:c r="Q88" s="1"/>
      <x:c r="R88" s="1"/>
    </x:row>
    <x:row r="89">
      <x:c r="G89" s="1"/>
      <x:c r="H89" s="1"/>
      <x:c r="I89" s="1"/>
      <x:c r="J89" s="1"/>
      <x:c r="K89" s="1"/>
      <x:c r="L89" s="1"/>
      <x:c r="M89" s="1"/>
      <x:c r="N89" s="16"/>
      <x:c r="O89" s="1"/>
      <x:c r="P89" s="1"/>
      <x:c r="Q89" s="1"/>
      <x:c r="R89" s="1"/>
    </x:row>
    <x:row r="90">
      <x:c r="G90" s="1"/>
      <x:c r="H90" s="1"/>
      <x:c r="I90" s="1"/>
      <x:c r="J90" s="1"/>
      <x:c r="K90" s="1"/>
      <x:c r="L90" s="1"/>
      <x:c r="M90" s="1"/>
      <x:c r="N90" s="16"/>
      <x:c r="O90" s="1"/>
      <x:c r="P90" s="1"/>
      <x:c r="Q90" s="1"/>
      <x:c r="R90" s="1"/>
    </x:row>
    <x:row r="91">
      <x:c r="C91" s="9" t="str">
        <x:v>Debt and cash</x:v>
      </x:c>
      <x:c r="D91" s="9"/>
      <x:c r="E91" s="9"/>
      <x:c r="F91" s="9"/>
      <x:c r="G91" s="10"/>
      <x:c r="H91" s="10"/>
      <x:c r="I91" s="10"/>
      <x:c r="J91" s="10"/>
      <x:c r="K91" s="10"/>
      <x:c r="L91" s="10"/>
      <x:c r="M91" s="10"/>
      <x:c r="N91" s="15"/>
      <x:c r="O91" s="10"/>
      <x:c r="P91" s="10"/>
      <x:c r="Q91" s="10"/>
      <x:c r="R91" s="10"/>
    </x:row>
    <x:row r="92">
      <x:c r="C92" t="str">
        <x:v>Debt outstanding</x:v>
      </x:c>
      <x:c r="G92" s="18" t="n">
        <x:f>Sources!C11</x:f>
        <x:v>6558</x:v>
      </x:c>
      <x:c r="H92" s="18" t="n">
        <x:f>Sources!C68</x:f>
        <x:v>6550</x:v>
      </x:c>
      <x:c r="I92" s="18" t="n">
        <x:f>Sources!C174</x:f>
        <x:v>7290</x:v>
      </x:c>
      <x:c r="J92" s="18" t="n">
        <x:f>Sources!C280</x:f>
        <x:v>7292</x:v>
      </x:c>
      <x:c r="K92" s="18" t="n">
        <x:f>Sources!C386</x:f>
        <x:v>8031</x:v>
      </x:c>
      <x:c r="L92" s="18" t="n">
        <x:f>Sources!C492</x:f>
        <x:v>8033</x:v>
      </x:c>
      <x:c r="M92" s="18" t="n">
        <x:f>Sources!C600</x:f>
        <x:v>9267</x:v>
      </x:c>
      <x:c r="N92" s="16"/>
      <x:c r="O92" s="1"/>
      <x:c r="P92" s="1"/>
      <x:c r="Q92" s="1"/>
      <x:c r="R92" s="1"/>
    </x:row>
    <x:row r="93">
      <x:c r="C93" t="str">
        <x:v>Cash debt issuance</x:v>
      </x:c>
      <x:c r="G93" s="1"/>
      <x:c r="H93" s="18" t="n">
        <x:f>Sources!C69</x:f>
        <x:v>490</x:v>
      </x:c>
      <x:c r="I93" s="18" t="n">
        <x:f>Sources!C175</x:f>
        <x:v>739</x:v>
      </x:c>
      <x:c r="J93" s="18" t="n">
        <x:f>Sources!C281</x:f>
        <x:v>0</x:v>
      </x:c>
      <x:c r="K93" s="18" t="n">
        <x:f>Sources!C387</x:f>
        <x:v>738</x:v>
      </x:c>
      <x:c r="L93" s="18" t="n">
        <x:f>Sources!C493</x:f>
        <x:v>0</x:v>
      </x:c>
      <x:c r="M93" s="18" t="n">
        <x:f>Sources!C601</x:f>
        <x:v>1233</x:v>
      </x:c>
      <x:c r="N93" s="16"/>
      <x:c r="O93" s="1"/>
      <x:c r="P93" s="1"/>
      <x:c r="Q93" s="1"/>
      <x:c r="R93" s="1"/>
    </x:row>
    <x:row r="94">
      <x:c r="C94" t="str">
        <x:v>Cash debt repayment</x:v>
      </x:c>
      <x:c r="G94" s="1"/>
      <x:c r="H94" s="18" t="n">
        <x:f>Sources!C70</x:f>
        <x:v>500</x:v>
      </x:c>
      <x:c r="I94" s="18" t="n">
        <x:f>Sources!C176</x:f>
        <x:v>0</x:v>
      </x:c>
      <x:c r="J94" s="18" t="n">
        <x:f>Sources!C282</x:f>
        <x:v>0</x:v>
      </x:c>
      <x:c r="K94" s="18" t="n">
        <x:f>Sources!C388</x:f>
        <x:v>0</x:v>
      </x:c>
      <x:c r="L94" s="18" t="n">
        <x:f>Sources!C494</x:f>
        <x:v>0</x:v>
      </x:c>
      <x:c r="M94" s="18" t="n">
        <x:f>Sources!C602</x:f>
        <x:v>0</x:v>
      </x:c>
      <x:c r="N94" s="16"/>
      <x:c r="O94" s="1"/>
      <x:c r="P94" s="1"/>
      <x:c r="Q94" s="1"/>
      <x:c r="R94" s="1"/>
    </x:row>
    <x:row r="95">
      <x:c r="C95" t="str">
        <x:v>Debt stock difference</x:v>
      </x:c>
      <x:c r="G95" s="1"/>
      <x:c r="H95" s="28" t="n">
        <x:f>H92-(G92+H93-H94)</x:f>
        <x:v>2</x:v>
      </x:c>
      <x:c r="I95" s="28" t="n">
        <x:f>I92-(H92+I93-I94)</x:f>
        <x:v>1</x:v>
      </x:c>
      <x:c r="J95" s="28" t="n">
        <x:f>J92-(I92+J93-J94)</x:f>
        <x:v>2</x:v>
      </x:c>
      <x:c r="K95" s="28" t="n">
        <x:f>K92-(J92+K93-K94)</x:f>
        <x:v>1</x:v>
      </x:c>
      <x:c r="L95" s="28" t="n">
        <x:f>L92-(K92+L93-L94)</x:f>
        <x:v>2</x:v>
      </x:c>
      <x:c r="M95" s="28" t="n">
        <x:f>M92-(L92+M93-M94)</x:f>
        <x:v>1</x:v>
      </x:c>
      <x:c r="N95" s="16"/>
      <x:c r="O95" s="1"/>
      <x:c r="P95" s="1"/>
      <x:c r="Q95" s="1"/>
      <x:c r="R95" s="1"/>
    </x:row>
    <x:row r="96">
      <x:c r="C96" t="str">
        <x:v>Cash from operations</x:v>
      </x:c>
      <x:c r="G96" s="1"/>
      <x:c r="H96" s="18" t="n">
        <x:f>Sources!C56</x:f>
        <x:v>6519</x:v>
      </x:c>
      <x:c r="I96" s="18" t="n">
        <x:f>Sources!C162</x:f>
        <x:v>7274</x:v>
      </x:c>
      <x:c r="J96" s="18" t="n">
        <x:f>Sources!C268</x:f>
        <x:v>6465</x:v>
      </x:c>
      <x:c r="K96" s="18" t="n">
        <x:f>Sources!C374</x:f>
        <x:v>7711</x:v>
      </x:c>
      <x:c r="L96" s="18" t="n">
        <x:f>Sources!C480</x:f>
        <x:v>9074</x:v>
      </x:c>
      <x:c r="M96" s="18" t="n">
        <x:f>Sources!C588</x:f>
        <x:v>10606</x:v>
      </x:c>
      <x:c r="N96" s="16"/>
      <x:c r="O96" s="1"/>
      <x:c r="P96" s="1"/>
      <x:c r="Q96" s="1"/>
      <x:c r="R96" s="1"/>
    </x:row>
    <x:row r="97">
      <x:c r="C97" t="str">
        <x:v>Cash from investing</x:v>
      </x:c>
      <x:c r="G97" s="1"/>
      <x:c r="H97" s="18" t="n">
        <x:f>Sources!C55</x:f>
        <x:v>-4892</x:v>
      </x:c>
      <x:c r="I97" s="18" t="n">
        <x:f>Sources!C161</x:f>
        <x:v>-5196</x:v>
      </x:c>
      <x:c r="J97" s="18" t="n">
        <x:f>Sources!C267</x:f>
        <x:v>-3728</x:v>
      </x:c>
      <x:c r="K97" s="18" t="n">
        <x:f>Sources!C373</x:f>
        <x:v>-6821</x:v>
      </x:c>
      <x:c r="L97" s="18" t="n">
        <x:f>Sources!C479</x:f>
        <x:v>-7264</x:v>
      </x:c>
      <x:c r="M97" s="18" t="n">
        <x:f>Sources!C587</x:f>
        <x:v>-7652</x:v>
      </x:c>
      <x:c r="N97" s="16"/>
      <x:c r="O97" s="1"/>
      <x:c r="P97" s="1"/>
      <x:c r="Q97" s="1"/>
      <x:c r="R97" s="1"/>
    </x:row>
    <x:row r="98">
      <x:c r="C98" t="str">
        <x:v>Cash from financing</x:v>
      </x:c>
      <x:c r="G98" s="1"/>
      <x:c r="H98" s="18" t="n">
        <x:f>Sources!C54</x:f>
        <x:v>-1416</x:v>
      </x:c>
      <x:c r="I98" s="18" t="n">
        <x:f>Sources!C160</x:f>
        <x:v>-2037</x:v>
      </x:c>
      <x:c r="J98" s="18" t="n">
        <x:f>Sources!C266</x:f>
        <x:v>-2669</x:v>
      </x:c>
      <x:c r="K98" s="18" t="n">
        <x:f>Sources!C372</x:f>
        <x:v>-1051</x:v>
      </x:c>
      <x:c r="L98" s="18" t="n">
        <x:f>Sources!C478</x:f>
        <x:v>-1747</x:v>
      </x:c>
      <x:c r="M98" s="18" t="n">
        <x:f>Sources!C586</x:f>
        <x:v>-2663</x:v>
      </x:c>
      <x:c r="N98" s="16"/>
      <x:c r="O98" s="1"/>
      <x:c r="P98" s="1"/>
      <x:c r="Q98" s="1"/>
      <x:c r="R98" s="1"/>
    </x:row>
    <x:row r="99">
      <x:c r="C99" t="str">
        <x:v>FX effect on cash</x:v>
      </x:c>
      <x:c r="G99" s="1"/>
      <x:c r="H99" s="18" t="n">
        <x:f>Sources!C49</x:f>
        <x:v>16</x:v>
      </x:c>
      <x:c r="I99" s="18" t="n">
        <x:f>Sources!C155</x:f>
        <x:v>-1</x:v>
      </x:c>
      <x:c r="J99" s="18" t="n">
        <x:f>Sources!C261</x:f>
        <x:v>-30</x:v>
      </x:c>
      <x:c r="K99" s="18" t="n">
        <x:f>Sources!C367</x:f>
        <x:v>12</x:v>
      </x:c>
      <x:c r="L99" s="18" t="n">
        <x:f>Sources!C473</x:f>
        <x:v>-14</x:v>
      </x:c>
      <x:c r="M99" s="18" t="n">
        <x:f>Sources!C580</x:f>
        <x:v>23</x:v>
      </x:c>
      <x:c r="N99" s="16"/>
      <x:c r="O99" s="1"/>
      <x:c r="P99" s="1"/>
      <x:c r="Q99" s="1"/>
      <x:c r="R99" s="1"/>
    </x:row>
    <x:row r="100">
      <x:c r="C100" t="str">
        <x:v>Cash held for sale</x:v>
      </x:c>
      <x:c r="G100" s="1"/>
      <x:c r="H100" s="1"/>
      <x:c r="I100" s="1"/>
      <x:c r="J100" s="1"/>
      <x:c r="K100" s="1"/>
      <x:c r="L100" s="1"/>
      <x:c r="M100" s="18" t="n">
        <x:f>Sources!C581</x:f>
        <x:v>171</x:v>
      </x:c>
      <x:c r="N100" s="16"/>
      <x:c r="O100" s="1"/>
      <x:c r="P100" s="1"/>
      <x:c r="Q100" s="1"/>
      <x:c r="R100" s="1"/>
    </x:row>
    <x:row r="101">
      <x:c r="C101" s="11" t="str">
        <x:v>Balance-sheet cash</x:v>
      </x:c>
      <x:c r="D101" s="11"/>
      <x:c r="E101" s="11"/>
      <x:c r="F101" s="11"/>
      <x:c r="G101" s="19" t="n">
        <x:f>Sources!C5</x:f>
        <x:v>494</x:v>
      </x:c>
      <x:c r="H101" s="19" t="n">
        <x:f>Sources!C44</x:f>
        <x:v>721</x:v>
      </x:c>
      <x:c r="I101" s="19" t="n">
        <x:f>Sources!C150</x:f>
        <x:v>761</x:v>
      </x:c>
      <x:c r="J101" s="19" t="n">
        <x:f>Sources!C256</x:f>
        <x:v>799</x:v>
      </x:c>
      <x:c r="K101" s="19" t="n">
        <x:f>Sources!C362</x:f>
        <x:v>650</x:v>
      </x:c>
      <x:c r="L101" s="19" t="n">
        <x:f>Sources!C468</x:f>
        <x:v>699</x:v>
      </x:c>
      <x:c r="M101" s="19" t="n">
        <x:f>Sources!C575</x:f>
        <x:v>842</x:v>
      </x:c>
      <x:c r="N101" s="17"/>
      <x:c r="O101" s="12"/>
      <x:c r="P101" s="12"/>
      <x:c r="Q101" s="12"/>
      <x:c r="R101" s="12"/>
    </x:row>
    <x:row r="102">
      <x:c r="C102" t="str">
        <x:v>Cash rollforward difference</x:v>
      </x:c>
      <x:c r="G102" s="1"/>
      <x:c r="H102" s="1" t="n">
        <x:f>G101+SUM(H96,H97,H98,H99)-H101</x:f>
        <x:v>0</x:v>
      </x:c>
      <x:c r="I102" s="1" t="n">
        <x:f>H101+SUM(I96,I97,I98,I99)-I101</x:f>
        <x:v>0</x:v>
      </x:c>
      <x:c r="J102" s="1" t="n">
        <x:f>I101+SUM(J96,J97,J98,J99)-J101</x:f>
        <x:v>0</x:v>
      </x:c>
      <x:c r="K102" s="1" t="n">
        <x:f>J101+SUM(K96,K97,K98,K99)-K101</x:f>
        <x:v>0</x:v>
      </x:c>
      <x:c r="L102" s="1" t="n">
        <x:f>K101+SUM(L96,L97,L98,L99)-L101</x:f>
        <x:v>0</x:v>
      </x:c>
      <x:c r="M102" s="1" t="n">
        <x:f>L101+SUM(M96,M97,M98,M99)-M100-M101</x:f>
        <x:v>0</x:v>
      </x:c>
      <x:c r="N102" s="16"/>
      <x:c r="O102" s="1"/>
      <x:c r="P102" s="1"/>
      <x:c r="Q102" s="1"/>
      <x:c r="R102" s="1"/>
    </x:row>
    <x:row r="103">
      <x:c r="G103" s="1"/>
      <x:c r="H103" s="1"/>
      <x:c r="I103" s="1"/>
      <x:c r="J103" s="1"/>
      <x:c r="K103" s="1"/>
      <x:c r="L103" s="1"/>
      <x:c r="M103" s="1"/>
      <x:c r="N103" s="16"/>
      <x:c r="O103" s="1"/>
      <x:c r="P103" s="1"/>
      <x:c r="Q103" s="1"/>
      <x:c r="R103" s="1"/>
    </x:row>
    <x:row r="104">
      <x:c r="G104" s="1"/>
      <x:c r="H104" s="1"/>
      <x:c r="I104" s="1"/>
      <x:c r="J104" s="1"/>
      <x:c r="K104" s="1"/>
      <x:c r="L104" s="1"/>
      <x:c r="M104" s="1"/>
      <x:c r="N104" s="16"/>
      <x:c r="O104" s="1"/>
      <x:c r="P104" s="1"/>
      <x:c r="Q104" s="1"/>
      <x:c r="R104" s="1"/>
    </x:row>
    <x:row r="105">
      <x:c r="C105" s="9" t="str">
        <x:v>GAAP income statement integration</x:v>
      </x:c>
      <x:c r="D105" s="9"/>
      <x:c r="E105" s="9"/>
      <x:c r="F105" s="9"/>
      <x:c r="G105" s="10"/>
      <x:c r="H105" s="10"/>
      <x:c r="I105" s="10"/>
      <x:c r="J105" s="10"/>
      <x:c r="K105" s="10"/>
      <x:c r="L105" s="10"/>
      <x:c r="M105" s="10"/>
      <x:c r="N105" s="15"/>
      <x:c r="O105" s="10"/>
      <x:c r="P105" s="10"/>
      <x:c r="Q105" s="10"/>
      <x:c r="R105" s="10"/>
    </x:row>
    <x:row r="106">
      <x:c r="C106" t="str">
        <x:v>Fee income</x:v>
      </x:c>
      <x:c r="G106" s="1"/>
      <x:c r="H106" s="18" t="n">
        <x:f>Sources!C85</x:f>
        <x:v>429</x:v>
      </x:c>
      <x:c r="I106" s="18" t="n">
        <x:f>Sources!C191</x:f>
        <x:v>402</x:v>
      </x:c>
      <x:c r="J106" s="18" t="n">
        <x:f>Sources!C297</x:f>
        <x:v>412</x:v>
      </x:c>
      <x:c r="K106" s="18" t="n">
        <x:f>Sources!C403</x:f>
        <x:v>433</x:v>
      </x:c>
      <x:c r="L106" s="18" t="n">
        <x:f>Sources!C509</x:f>
        <x:v>473</x:v>
      </x:c>
      <x:c r="M106" s="18" t="n">
        <x:f>Sources!C617</x:f>
        <x:v>495</x:v>
      </x:c>
      <x:c r="N106" s="16"/>
      <x:c r="O106" s="1"/>
      <x:c r="P106" s="1"/>
      <x:c r="Q106" s="1"/>
      <x:c r="R106" s="1"/>
    </x:row>
    <x:row r="107">
      <x:c r="C107" t="str">
        <x:v>Net realized investment gains / losses</x:v>
      </x:c>
      <x:c r="G107" s="1"/>
      <x:c r="H107" s="18" t="n">
        <x:f>Sources!C119</x:f>
        <x:v>2</x:v>
      </x:c>
      <x:c r="I107" s="18" t="n">
        <x:f>Sources!C225</x:f>
        <x:v>171</x:v>
      </x:c>
      <x:c r="J107" s="18" t="n">
        <x:f>Sources!C331</x:f>
        <x:v>-204</x:v>
      </x:c>
      <x:c r="K107" s="18" t="n">
        <x:f>Sources!C437</x:f>
        <x:v>-105</x:v>
      </x:c>
      <x:c r="L107" s="18" t="n">
        <x:f>Sources!C543</x:f>
        <x:v>-30</x:v>
      </x:c>
      <x:c r="M107" s="18" t="n">
        <x:f>Sources!C656</x:f>
        <x:v>-48</x:v>
      </x:c>
      <x:c r="N107" s="16"/>
      <x:c r="O107" s="1"/>
      <x:c r="P107" s="1"/>
      <x:c r="Q107" s="1"/>
      <x:c r="R107" s="1"/>
    </x:row>
    <x:row r="108">
      <x:c r="C108" t="str">
        <x:v>Other revenues</x:v>
      </x:c>
      <x:c r="G108" s="1"/>
      <x:c r="H108" s="18" t="n">
        <x:f>Sources!C111</x:f>
        <x:v>279</x:v>
      </x:c>
      <x:c r="I108" s="18" t="n">
        <x:f>Sources!C217</x:f>
        <x:v>355</x:v>
      </x:c>
      <x:c r="J108" s="18" t="n">
        <x:f>Sources!C323</x:f>
        <x:v>351</x:v>
      </x:c>
      <x:c r="K108" s="18" t="n">
        <x:f>Sources!C429</x:f>
        <x:v>353</x:v>
      </x:c>
      <x:c r="L108" s="18" t="n">
        <x:f>Sources!C535</x:f>
        <x:v>449</x:v>
      </x:c>
      <x:c r="M108" s="18" t="n">
        <x:f>Sources!C648</x:f>
        <x:v>508</x:v>
      </x:c>
      <x:c r="N108" s="16"/>
      <x:c r="O108" s="1"/>
      <x:c r="P108" s="1"/>
      <x:c r="Q108" s="1"/>
      <x:c r="R108" s="1"/>
    </x:row>
    <x:row r="109">
      <x:c r="C109" t="str">
        <x:v>Total revenues</x:v>
      </x:c>
      <x:c r="G109" s="1"/>
      <x:c r="H109" s="1" t="n">
        <x:f>SUM(H22,H70,H106,H107,H108)</x:f>
        <x:v>31981</x:v>
      </x:c>
      <x:c r="I109" s="1" t="n">
        <x:f>SUM(I22,I70,I106,I107,I108)</x:f>
        <x:v>34816</x:v>
      </x:c>
      <x:c r="J109" s="1" t="n">
        <x:f>SUM(J22,J70,J106,J107,J108)</x:f>
        <x:v>36884</x:v>
      </x:c>
      <x:c r="K109" s="1" t="n">
        <x:f>SUM(K22,K70,K106,K107,K108)</x:f>
        <x:v>41364</x:v>
      </x:c>
      <x:c r="L109" s="1" t="n">
        <x:f>SUM(L22,L70,L106,L107,L108)</x:f>
        <x:v>46423</x:v>
      </x:c>
      <x:c r="M109" s="1" t="n">
        <x:f>SUM(M22,M70,M106,M107,M108)</x:f>
        <x:v>48828</x:v>
      </x:c>
      <x:c r="N109" s="16"/>
      <x:c r="O109" s="1"/>
      <x:c r="P109" s="1"/>
      <x:c r="Q109" s="1"/>
      <x:c r="R109" s="1"/>
    </x:row>
    <x:row r="110">
      <x:c r="C110" t="str">
        <x:v>Interest expense</x:v>
      </x:c>
      <x:c r="G110" s="1"/>
      <x:c r="H110" s="18" t="n">
        <x:f>Sources!C98</x:f>
        <x:v>339</x:v>
      </x:c>
      <x:c r="I110" s="18" t="n">
        <x:f>Sources!C204</x:f>
        <x:v>340</x:v>
      </x:c>
      <x:c r="J110" s="18" t="n">
        <x:f>Sources!C310</x:f>
        <x:v>351</x:v>
      </x:c>
      <x:c r="K110" s="18" t="n">
        <x:f>Sources!C416</x:f>
        <x:v>376</x:v>
      </x:c>
      <x:c r="L110" s="18" t="n">
        <x:f>Sources!C522</x:f>
        <x:v>392</x:v>
      </x:c>
      <x:c r="M110" s="18" t="n">
        <x:f>Sources!C633</x:f>
        <x:v>425</x:v>
      </x:c>
      <x:c r="N110" s="16"/>
      <x:c r="O110" s="1"/>
      <x:c r="P110" s="1"/>
      <x:c r="Q110" s="1"/>
      <x:c r="R110" s="1"/>
    </x:row>
    <x:row r="111">
      <x:c r="C111" t="str">
        <x:v>Total claims and expenses</x:v>
      </x:c>
      <x:c r="G111" s="1"/>
      <x:c r="H111" s="1" t="n">
        <x:f>SUM(H55,H52,H54,H110)</x:f>
        <x:v>28744</x:v>
      </x:c>
      <x:c r="I111" s="1" t="n">
        <x:f>SUM(I55,I52,I54,I110)</x:f>
        <x:v>30358</x:v>
      </x:c>
      <x:c r="J111" s="1" t="n">
        <x:f>SUM(J55,J52,J54,J110)</x:f>
        <x:v>33530</x:v>
      </x:c>
      <x:c r="K111" s="1" t="n">
        <x:f>SUM(K55,K52,K54,K110)</x:f>
        <x:v>37993</x:v>
      </x:c>
      <x:c r="L111" s="1" t="n">
        <x:f>SUM(L55,L52,L54,L110)</x:f>
        <x:v>40243</x:v>
      </x:c>
      <x:c r="M111" s="1" t="n">
        <x:f>SUM(M55,M52,M54,M110)</x:f>
        <x:v>41032</x:v>
      </x:c>
      <x:c r="N111" s="16"/>
      <x:c r="O111" s="1"/>
      <x:c r="P111" s="1"/>
      <x:c r="Q111" s="1"/>
      <x:c r="R111" s="1"/>
    </x:row>
    <x:row r="112">
      <x:c r="C112" t="str">
        <x:v>Income before tax</x:v>
      </x:c>
      <x:c r="G112" s="1"/>
      <x:c r="H112" s="1" t="n">
        <x:f>H109-H111</x:f>
        <x:v>3237</x:v>
      </x:c>
      <x:c r="I112" s="1" t="n">
        <x:f>I109-I111</x:f>
        <x:v>4458</x:v>
      </x:c>
      <x:c r="J112" s="1" t="n">
        <x:f>J109-J111</x:f>
        <x:v>3354</x:v>
      </x:c>
      <x:c r="K112" s="1" t="n">
        <x:f>K109-K111</x:f>
        <x:v>3371</x:v>
      </x:c>
      <x:c r="L112" s="1" t="n">
        <x:f>L109-L111</x:f>
        <x:v>6180</x:v>
      </x:c>
      <x:c r="M112" s="1" t="n">
        <x:f>M109-M111</x:f>
        <x:v>7796</x:v>
      </x:c>
      <x:c r="N112" s="16"/>
      <x:c r="O112" s="1"/>
      <x:c r="P112" s="1"/>
      <x:c r="Q112" s="1"/>
      <x:c r="R112" s="1"/>
    </x:row>
    <x:row r="113">
      <x:c r="C113" t="str">
        <x:v>Income tax expense</x:v>
      </x:c>
      <x:c r="G113" s="1"/>
      <x:c r="H113" s="18" t="n">
        <x:f>Sources!C133</x:f>
        <x:v>540</x:v>
      </x:c>
      <x:c r="I113" s="18" t="n">
        <x:f>Sources!C239</x:f>
        <x:v>796</x:v>
      </x:c>
      <x:c r="J113" s="18" t="n">
        <x:f>Sources!C345</x:f>
        <x:v>512</x:v>
      </x:c>
      <x:c r="K113" s="18" t="n">
        <x:f>Sources!C451</x:f>
        <x:v>380</x:v>
      </x:c>
      <x:c r="L113" s="18" t="n">
        <x:f>Sources!C557</x:f>
        <x:v>1181</x:v>
      </x:c>
      <x:c r="M113" s="18" t="n">
        <x:f>Sources!C670</x:f>
        <x:v>1508</x:v>
      </x:c>
      <x:c r="N113" s="16"/>
      <x:c r="O113" s="1"/>
      <x:c r="P113" s="1"/>
      <x:c r="Q113" s="1"/>
      <x:c r="R113" s="1"/>
    </x:row>
    <x:row r="114">
      <x:c r="C114" t="str">
        <x:v>Revenue line difference</x:v>
      </x:c>
      <x:c r="G114" s="1"/>
      <x:c r="H114" s="1" t="n">
        <x:f>H109-Sources!C140</x:f>
        <x:v>0</x:v>
      </x:c>
      <x:c r="I114" s="1" t="n">
        <x:f>I109-Sources!C246</x:f>
        <x:v>0</x:v>
      </x:c>
      <x:c r="J114" s="1" t="n">
        <x:f>J109-Sources!C352</x:f>
        <x:v>0</x:v>
      </x:c>
      <x:c r="K114" s="1" t="n">
        <x:f>K109-Sources!C458</x:f>
        <x:v>0</x:v>
      </x:c>
      <x:c r="L114" s="1" t="n">
        <x:f>L109-Sources!C564</x:f>
        <x:v>0</x:v>
      </x:c>
      <x:c r="M114" s="1" t="n">
        <x:f>M109-Sources!C677</x:f>
        <x:v>0</x:v>
      </x:c>
      <x:c r="N114" s="16"/>
      <x:c r="O114" s="1"/>
      <x:c r="P114" s="1"/>
      <x:c r="Q114" s="1"/>
      <x:c r="R114" s="1"/>
    </x:row>
    <x:row r="115">
      <x:c r="C115" t="str">
        <x:v>Expense line difference</x:v>
      </x:c>
      <x:c r="G115" s="1"/>
      <x:c r="H115" s="1" t="n">
        <x:f>H111-Sources!C135</x:f>
        <x:v>0</x:v>
      </x:c>
      <x:c r="I115" s="1" t="n">
        <x:f>I111-Sources!C241</x:f>
        <x:v>0</x:v>
      </x:c>
      <x:c r="J115" s="1" t="n">
        <x:f>J111-Sources!C347</x:f>
        <x:v>0</x:v>
      </x:c>
      <x:c r="K115" s="1" t="n">
        <x:f>K111-Sources!C453</x:f>
        <x:v>0</x:v>
      </x:c>
      <x:c r="L115" s="1" t="n">
        <x:f>L111-Sources!C559</x:f>
        <x:v>0</x:v>
      </x:c>
      <x:c r="M115" s="1" t="n">
        <x:f>M111-Sources!C672</x:f>
        <x:v>0</x:v>
      </x:c>
      <x:c r="N115" s="16"/>
      <x:c r="O115" s="1"/>
      <x:c r="P115" s="1"/>
      <x:c r="Q115" s="1"/>
      <x:c r="R115" s="1"/>
    </x:row>
    <x:row r="116">
      <x:c r="C116" t="str">
        <x:v>Net income line difference</x:v>
      </x:c>
      <x:c r="G116" s="1"/>
      <x:c r="H116" s="1" t="n">
        <x:f>H112-H113-H77</x:f>
        <x:v>0</x:v>
      </x:c>
      <x:c r="I116" s="1" t="n">
        <x:f>I112-I113-I77</x:f>
        <x:v>0</x:v>
      </x:c>
      <x:c r="J116" s="1" t="n">
        <x:f>J112-J113-J77</x:f>
        <x:v>0</x:v>
      </x:c>
      <x:c r="K116" s="1" t="n">
        <x:f>K112-K113-K77</x:f>
        <x:v>0</x:v>
      </x:c>
      <x:c r="L116" s="1" t="n">
        <x:f>L112-L113-L77</x:f>
        <x:v>0</x:v>
      </x:c>
      <x:c r="M116" s="1" t="n">
        <x:f>M112-M113-M77</x:f>
        <x:v>0</x:v>
      </x:c>
      <x:c r="N116" s="16"/>
      <x:c r="O116" s="1"/>
      <x:c r="P116" s="1"/>
      <x:c r="Q116" s="1"/>
      <x:c r="R116" s="1"/>
    </x:row>
    <x:row r="117">
      <x:c r="C117" t="str">
        <x:v>Income versus cash-flow net income</x:v>
      </x:c>
      <x:c r="G117" s="1"/>
      <x:c r="H117" s="1" t="n">
        <x:f>H77-Sources!C47</x:f>
        <x:v>0</x:v>
      </x:c>
      <x:c r="I117" s="1" t="n">
        <x:f>I77-Sources!C153</x:f>
        <x:v>0</x:v>
      </x:c>
      <x:c r="J117" s="1" t="n">
        <x:f>J77-Sources!C259</x:f>
        <x:v>0</x:v>
      </x:c>
      <x:c r="K117" s="1" t="n">
        <x:f>K77-Sources!C365</x:f>
        <x:v>0</x:v>
      </x:c>
      <x:c r="L117" s="1" t="n">
        <x:f>L77-Sources!C471</x:f>
        <x:v>0</x:v>
      </x:c>
      <x:c r="M117" s="1" t="n">
        <x:f>M77-Sources!C578</x:f>
        <x:v>0</x:v>
      </x:c>
      <x:c r="N117" s="16"/>
      <x:c r="O117" s="1"/>
      <x:c r="P117" s="1"/>
      <x:c r="Q117" s="1"/>
      <x:c r="R117" s="1"/>
    </x:row>
    <x:row r="118">
      <x:c r="G118" s="1"/>
      <x:c r="H118" s="1"/>
      <x:c r="I118" s="1"/>
      <x:c r="J118" s="1"/>
      <x:c r="K118" s="1"/>
      <x:c r="L118" s="1"/>
      <x:c r="M118" s="1"/>
      <x:c r="N118" s="16"/>
      <x:c r="O118" s="1"/>
      <x:c r="P118" s="1"/>
      <x:c r="Q118" s="1"/>
      <x:c r="R118" s="1"/>
    </x:row>
    <x:row r="119">
      <x:c r="G119" s="1"/>
      <x:c r="H119" s="1"/>
      <x:c r="I119" s="1"/>
      <x:c r="J119" s="1"/>
      <x:c r="K119" s="1"/>
      <x:c r="L119" s="1"/>
      <x:c r="M119" s="1"/>
      <x:c r="N119" s="16"/>
      <x:c r="O119" s="1"/>
      <x:c r="P119" s="1"/>
      <x:c r="Q119" s="1"/>
      <x:c r="R119" s="1"/>
    </x:row>
    <x:row r="120">
      <x:c r="C120" s="9" t="str">
        <x:v>GAAP balance sheet integration</x:v>
      </x:c>
      <x:c r="D120" s="9"/>
      <x:c r="E120" s="9"/>
      <x:c r="F120" s="9"/>
      <x:c r="G120" s="10"/>
      <x:c r="H120" s="10"/>
      <x:c r="I120" s="10"/>
      <x:c r="J120" s="10"/>
      <x:c r="K120" s="10"/>
      <x:c r="L120" s="10"/>
      <x:c r="M120" s="10"/>
      <x:c r="N120" s="15"/>
      <x:c r="O120" s="10"/>
      <x:c r="P120" s="10"/>
      <x:c r="Q120" s="10"/>
      <x:c r="R120" s="10"/>
    </x:row>
    <x:row r="121">
      <x:c r="C121" t="str">
        <x:v>Investment income accrued</x:v>
      </x:c>
      <x:c r="G121" s="18" t="n">
        <x:f>Sources!C2</x:f>
        <x:v>618</x:v>
      </x:c>
      <x:c r="H121" s="18" t="n">
        <x:f>Sources!C37</x:f>
        <x:v>603</x:v>
      </x:c>
      <x:c r="I121" s="18" t="n">
        <x:f>Sources!C143</x:f>
        <x:v>615</x:v>
      </x:c>
      <x:c r="J121" s="18" t="n">
        <x:f>Sources!C249</x:f>
        <x:v>650</x:v>
      </x:c>
      <x:c r="K121" s="18" t="n">
        <x:f>Sources!C355</x:f>
        <x:v>688</x:v>
      </x:c>
      <x:c r="L121" s="18" t="n">
        <x:f>Sources!C461</x:f>
        <x:v>752</x:v>
      </x:c>
      <x:c r="M121" s="18" t="n">
        <x:f>Sources!C567</x:f>
        <x:v>877</x:v>
      </x:c>
      <x:c r="N121" s="16"/>
      <x:c r="O121" s="1"/>
      <x:c r="P121" s="1"/>
      <x:c r="Q121" s="1"/>
      <x:c r="R121" s="1"/>
    </x:row>
    <x:row r="122">
      <x:c r="C122" t="str">
        <x:v>Premium receivables</x:v>
      </x:c>
      <x:c r="G122" s="18" t="n">
        <x:f>Sources!C26</x:f>
        <x:v>7909</x:v>
      </x:c>
      <x:c r="H122" s="18" t="n">
        <x:f>Sources!C114</x:f>
        <x:v>7829</x:v>
      </x:c>
      <x:c r="I122" s="18" t="n">
        <x:f>Sources!C220</x:f>
        <x:v>8085</x:v>
      </x:c>
      <x:c r="J122" s="18" t="n">
        <x:f>Sources!C326</x:f>
        <x:v>8922</x:v>
      </x:c>
      <x:c r="K122" s="18" t="n">
        <x:f>Sources!C432</x:f>
        <x:v>10282</x:v>
      </x:c>
      <x:c r="L122" s="18" t="n">
        <x:f>Sources!C538</x:f>
        <x:v>11110</x:v>
      </x:c>
      <x:c r="M122" s="18" t="n">
        <x:f>Sources!C651</x:f>
        <x:v>10992</x:v>
      </x:c>
      <x:c r="N122" s="16"/>
      <x:c r="O122" s="1"/>
      <x:c r="P122" s="1"/>
      <x:c r="Q122" s="1"/>
      <x:c r="R122" s="1"/>
    </x:row>
    <x:row r="123">
      <x:c r="C123" t="str">
        <x:v>Deferred tax assets</x:v>
      </x:c>
      <x:c r="G123" s="1"/>
      <x:c r="H123" s="1"/>
      <x:c r="I123" s="1"/>
      <x:c r="J123" s="18" t="n">
        <x:f>Sources!C283</x:f>
        <x:v>1877</x:v>
      </x:c>
      <x:c r="K123" s="18" t="n">
        <x:f>Sources!C389</x:f>
        <x:v>1504</x:v>
      </x:c>
      <x:c r="L123" s="18" t="n">
        <x:f>Sources!C495</x:f>
        <x:v>1762</x:v>
      </x:c>
      <x:c r="M123" s="18" t="n">
        <x:f>Sources!C603</x:f>
        <x:v>887</x:v>
      </x:c>
      <x:c r="N123" s="16"/>
      <x:c r="O123" s="1"/>
      <x:c r="P123" s="1"/>
      <x:c r="Q123" s="1"/>
      <x:c r="R123" s="1"/>
    </x:row>
    <x:row r="124">
      <x:c r="C124" t="str">
        <x:v>Contractholder receivables</x:v>
      </x:c>
      <x:c r="G124" s="18" t="n">
        <x:f>Sources!C9</x:f>
        <x:v>4619</x:v>
      </x:c>
      <x:c r="H124" s="18" t="n">
        <x:f>Sources!C63</x:f>
        <x:v>4242</x:v>
      </x:c>
      <x:c r="I124" s="18" t="n">
        <x:f>Sources!C169</x:f>
        <x:v>3890</x:v>
      </x:c>
      <x:c r="J124" s="18" t="n">
        <x:f>Sources!C275</x:f>
        <x:v>3579</x:v>
      </x:c>
      <x:c r="K124" s="18" t="n">
        <x:f>Sources!C381</x:f>
        <x:v>3249</x:v>
      </x:c>
      <x:c r="L124" s="18" t="n">
        <x:f>Sources!C487</x:f>
        <x:v>3171</x:v>
      </x:c>
      <x:c r="M124" s="18" t="n">
        <x:f>Sources!C595</x:f>
        <x:v>3010</x:v>
      </x:c>
      <x:c r="N124" s="16"/>
      <x:c r="O124" s="1"/>
      <x:c r="P124" s="1"/>
      <x:c r="Q124" s="1"/>
      <x:c r="R124" s="1"/>
    </x:row>
    <x:row r="125">
      <x:c r="C125" t="str">
        <x:v>Goodwill</x:v>
      </x:c>
      <x:c r="G125" s="18" t="n">
        <x:f>Sources!C17</x:f>
        <x:v>3961</x:v>
      </x:c>
      <x:c r="H125" s="18" t="n">
        <x:f>Sources!C92</x:f>
        <x:v>3976</x:v>
      </x:c>
      <x:c r="I125" s="18" t="n">
        <x:f>Sources!C198</x:f>
        <x:v>4008</x:v>
      </x:c>
      <x:c r="J125" s="18" t="n">
        <x:f>Sources!C304</x:f>
        <x:v>3952</x:v>
      </x:c>
      <x:c r="K125" s="18" t="n">
        <x:f>Sources!C410</x:f>
        <x:v>3976</x:v>
      </x:c>
      <x:c r="L125" s="18" t="n">
        <x:f>Sources!C516</x:f>
        <x:v>4233</x:v>
      </x:c>
      <x:c r="M125" s="18" t="n">
        <x:f>Sources!C624</x:f>
        <x:v>4066</x:v>
      </x:c>
      <x:c r="N125" s="16"/>
      <x:c r="O125" s="1"/>
      <x:c r="P125" s="1"/>
      <x:c r="Q125" s="1"/>
      <x:c r="R125" s="1"/>
    </x:row>
    <x:row r="126">
      <x:c r="C126" t="str">
        <x:v>Other intangible assets</x:v>
      </x:c>
      <x:c r="G126" s="18" t="n">
        <x:f>Sources!C20</x:f>
        <x:v>330</x:v>
      </x:c>
      <x:c r="H126" s="18" t="n">
        <x:f>Sources!C97</x:f>
        <x:v>317</x:v>
      </x:c>
      <x:c r="I126" s="18" t="n">
        <x:f>Sources!C203</x:f>
        <x:v>306</x:v>
      </x:c>
      <x:c r="J126" s="18" t="n">
        <x:f>Sources!C309</x:f>
        <x:v>287</x:v>
      </x:c>
      <x:c r="K126" s="18" t="n">
        <x:f>Sources!C415</x:f>
        <x:v>277</x:v>
      </x:c>
      <x:c r="L126" s="18" t="n">
        <x:f>Sources!C521</x:f>
        <x:v>360</x:v>
      </x:c>
      <x:c r="M126" s="18" t="n">
        <x:f>Sources!C632</x:f>
        <x:v>336</x:v>
      </x:c>
      <x:c r="N126" s="16"/>
      <x:c r="O126" s="1"/>
      <x:c r="P126" s="1"/>
      <x:c r="Q126" s="1"/>
      <x:c r="R126" s="1"/>
    </x:row>
    <x:row r="127">
      <x:c r="C127" t="str">
        <x:v>Other assets</x:v>
      </x:c>
      <x:c r="G127" s="18" t="n">
        <x:f>Sources!C23</x:f>
        <x:v>3110</x:v>
      </x:c>
      <x:c r="H127" s="18" t="n">
        <x:f>Sources!C106</x:f>
        <x:v>3173</x:v>
      </x:c>
      <x:c r="I127" s="18" t="n">
        <x:f>Sources!C212</x:f>
        <x:v>3530</x:v>
      </x:c>
      <x:c r="J127" s="18" t="n">
        <x:f>Sources!C318</x:f>
        <x:v>3274</x:v>
      </x:c>
      <x:c r="K127" s="18" t="n">
        <x:f>Sources!C424</x:f>
        <x:v>3943</x:v>
      </x:c>
      <x:c r="L127" s="18" t="n">
        <x:f>Sources!C530</x:f>
        <x:v>4183</x:v>
      </x:c>
      <x:c r="M127" s="18" t="n">
        <x:f>Sources!C642</x:f>
        <x:v>4279</x:v>
      </x:c>
      <x:c r="N127" s="16"/>
      <x:c r="O127" s="1"/>
      <x:c r="P127" s="1"/>
      <x:c r="Q127" s="1"/>
      <x:c r="R127" s="1"/>
    </x:row>
    <x:row r="128">
      <x:c r="C128" t="str">
        <x:v>Assets held for sale</x:v>
      </x:c>
      <x:c r="G128" s="1"/>
      <x:c r="H128" s="1"/>
      <x:c r="I128" s="1"/>
      <x:c r="J128" s="1"/>
      <x:c r="K128" s="1"/>
      <x:c r="L128" s="1"/>
      <x:c r="M128" s="18" t="n">
        <x:f>Sources!C571</x:f>
        <x:v>4550</x:v>
      </x:c>
      <x:c r="N128" s="16"/>
      <x:c r="O128" s="1"/>
      <x:c r="P128" s="1"/>
      <x:c r="Q128" s="1"/>
      <x:c r="R128" s="1"/>
    </x:row>
    <x:row r="129">
      <x:c r="C129" t="str">
        <x:v>Total assets</x:v>
      </x:c>
      <x:c r="G129" s="18" t="n">
        <x:f>Sources!C31</x:f>
        <x:v>110122</x:v>
      </x:c>
      <x:c r="H129" s="18" t="n">
        <x:f>Sources!C134</x:f>
        <x:v>116764</x:v>
      </x:c>
      <x:c r="I129" s="18" t="n">
        <x:f>Sources!C240</x:f>
        <x:v>120466</x:v>
      </x:c>
      <x:c r="J129" s="18" t="n">
        <x:f>Sources!C346</x:f>
        <x:v>115717</x:v>
      </x:c>
      <x:c r="K129" s="18" t="n">
        <x:f>Sources!C452</x:f>
        <x:v>125978</x:v>
      </x:c>
      <x:c r="L129" s="18" t="n">
        <x:f>Sources!C558</x:f>
        <x:v>133189</x:v>
      </x:c>
      <x:c r="M129" s="18" t="n">
        <x:f>Sources!C671</x:f>
        <x:v>143708</x:v>
      </x:c>
      <x:c r="N129" s="16"/>
      <x:c r="O129" s="1"/>
      <x:c r="P129" s="1"/>
      <x:c r="Q129" s="1"/>
      <x:c r="R129" s="1"/>
    </x:row>
    <x:row r="130">
      <x:c r="C130" t="str">
        <x:v>Balance-sheet claims reserves</x:v>
      </x:c>
      <x:c r="G130" s="18" t="n">
        <x:f>Sources!C4</x:f>
        <x:v>51849</x:v>
      </x:c>
      <x:c r="H130" s="18" t="n">
        <x:f>Sources!C43</x:f>
        <x:v>54521</x:v>
      </x:c>
      <x:c r="I130" s="18" t="n">
        <x:f>Sources!C149</x:f>
        <x:v>56907</x:v>
      </x:c>
      <x:c r="J130" s="18" t="n">
        <x:f>Sources!C255</x:f>
        <x:v>58649</x:v>
      </x:c>
      <x:c r="K130" s="18" t="n">
        <x:f>Sources!C361</x:f>
        <x:v>61627</x:v>
      </x:c>
      <x:c r="L130" s="18" t="n">
        <x:f>Sources!C467</x:f>
        <x:v>64093</x:v>
      </x:c>
      <x:c r="M130" s="18" t="n">
        <x:f>Sources!C574</x:f>
        <x:v>65737</x:v>
      </x:c>
      <x:c r="N130" s="16"/>
      <x:c r="O130" s="1"/>
      <x:c r="P130" s="1"/>
      <x:c r="Q130" s="1"/>
      <x:c r="R130" s="1"/>
    </x:row>
    <x:row r="131">
      <x:c r="C131" t="str">
        <x:v>Contractholder payables</x:v>
      </x:c>
      <x:c r="G131" s="18" t="n">
        <x:f>Sources!C8</x:f>
        <x:v>4619</x:v>
      </x:c>
      <x:c r="H131" s="18" t="n">
        <x:f>Sources!C62</x:f>
        <x:v>4261</x:v>
      </x:c>
      <x:c r="I131" s="18" t="n">
        <x:f>Sources!C168</x:f>
        <x:v>3911</x:v>
      </x:c>
      <x:c r="J131" s="18" t="n">
        <x:f>Sources!C274</x:f>
        <x:v>3596</x:v>
      </x:c>
      <x:c r="K131" s="18" t="n">
        <x:f>Sources!C380</x:f>
        <x:v>3269</x:v>
      </x:c>
      <x:c r="L131" s="18" t="n">
        <x:f>Sources!C486</x:f>
        <x:v>3189</x:v>
      </x:c>
      <x:c r="M131" s="18" t="n">
        <x:f>Sources!C594</x:f>
        <x:v>3026</x:v>
      </x:c>
      <x:c r="N131" s="16"/>
      <x:c r="O131" s="1"/>
      <x:c r="P131" s="1"/>
      <x:c r="Q131" s="1"/>
      <x:c r="R131" s="1"/>
    </x:row>
    <x:row r="132">
      <x:c r="C132" t="str">
        <x:v>Reinsurance premium payables</x:v>
      </x:c>
      <x:c r="G132" s="18" t="n">
        <x:f>Sources!C28</x:f>
        <x:v>363</x:v>
      </x:c>
      <x:c r="H132" s="18" t="n">
        <x:f>Sources!C120</x:f>
        <x:v>356</x:v>
      </x:c>
      <x:c r="I132" s="18" t="n">
        <x:f>Sources!C226</x:f>
        <x:v>384</x:v>
      </x:c>
      <x:c r="J132" s="18" t="n">
        <x:f>Sources!C332</x:f>
        <x:v>419</x:v>
      </x:c>
      <x:c r="K132" s="18" t="n">
        <x:f>Sources!C438</x:f>
        <x:v>518</x:v>
      </x:c>
      <x:c r="L132" s="18" t="n">
        <x:f>Sources!C544</x:f>
        <x:v>550</x:v>
      </x:c>
      <x:c r="M132" s="18" t="n">
        <x:f>Sources!C657</x:f>
        <x:v>529</x:v>
      </x:c>
      <x:c r="N132" s="16"/>
      <x:c r="O132" s="1"/>
      <x:c r="P132" s="1"/>
      <x:c r="Q132" s="1"/>
      <x:c r="R132" s="1"/>
    </x:row>
    <x:row r="133">
      <x:c r="C133" t="str">
        <x:v>Deferred tax liabilities</x:v>
      </x:c>
      <x:c r="G133" s="18" t="n">
        <x:f>Sources!C12</x:f>
        <x:v>137</x:v>
      </x:c>
      <x:c r="H133" s="18" t="n">
        <x:f>Sources!C71</x:f>
        <x:v>558</x:v>
      </x:c>
      <x:c r="I133" s="18" t="n">
        <x:f>Sources!C177</x:f>
        <x:v>289</x:v>
      </x:c>
      <x:c r="J133" s="1"/>
      <x:c r="K133" s="1"/>
      <x:c r="L133" s="1"/>
      <x:c r="M133" s="1"/>
      <x:c r="N133" s="16"/>
      <x:c r="O133" s="1"/>
      <x:c r="P133" s="1"/>
      <x:c r="Q133" s="1"/>
      <x:c r="R133" s="1"/>
    </x:row>
    <x:row r="134">
      <x:c r="C134" t="str">
        <x:v>Other liabilities</x:v>
      </x:c>
      <x:c r="G134" s="18" t="n">
        <x:f>Sources!C25</x:f>
        <x:v>6049</x:v>
      </x:c>
      <x:c r="H134" s="18" t="n">
        <x:f>Sources!C110</x:f>
        <x:v>6095</x:v>
      </x:c>
      <x:c r="I134" s="18" t="n">
        <x:f>Sources!C216</x:f>
        <x:v>6329</x:v>
      </x:c>
      <x:c r="J134" s="18" t="n">
        <x:f>Sources!C322</x:f>
        <x:v>5961</x:v>
      </x:c>
      <x:c r="K134" s="18" t="n">
        <x:f>Sources!C428</x:f>
        <x:v>6740</x:v>
      </x:c>
      <x:c r="L134" s="18" t="n">
        <x:f>Sources!C534</x:f>
        <x:v>7171</x:v>
      </x:c>
      <x:c r="M134" s="18" t="n">
        <x:f>Sources!C647</x:f>
        <x:v>7282</x:v>
      </x:c>
      <x:c r="N134" s="16"/>
      <x:c r="O134" s="1"/>
      <x:c r="P134" s="1"/>
      <x:c r="Q134" s="1"/>
      <x:c r="R134" s="1"/>
    </x:row>
    <x:row r="135">
      <x:c r="C135" t="str">
        <x:v>Liabilities held for sale</x:v>
      </x:c>
      <x:c r="G135" s="1"/>
      <x:c r="H135" s="1"/>
      <x:c r="I135" s="1"/>
      <x:c r="J135" s="1"/>
      <x:c r="K135" s="1"/>
      <x:c r="L135" s="1"/>
      <x:c r="M135" s="18" t="n">
        <x:f>Sources!C635</x:f>
        <x:v>2542</x:v>
      </x:c>
      <x:c r="N135" s="16"/>
      <x:c r="O135" s="1"/>
      <x:c r="P135" s="1"/>
      <x:c r="Q135" s="1"/>
      <x:c r="R135" s="1"/>
    </x:row>
    <x:row r="136">
      <x:c r="C136" t="str">
        <x:v>Total liabilities</x:v>
      </x:c>
      <x:c r="G136" s="18" t="n">
        <x:f>Sources!C33</x:f>
        <x:v>84179</x:v>
      </x:c>
      <x:c r="H136" s="18" t="n">
        <x:f>Sources!C137</x:f>
        <x:v>87563</x:v>
      </x:c>
      <x:c r="I136" s="18" t="n">
        <x:f>Sources!C243</x:f>
        <x:v>91579</x:v>
      </x:c>
      <x:c r="J136" s="18" t="n">
        <x:f>Sources!C349</x:f>
        <x:v>94157</x:v>
      </x:c>
      <x:c r="K136" s="18" t="n">
        <x:f>Sources!C455</x:f>
        <x:v>101057</x:v>
      </x:c>
      <x:c r="L136" s="18" t="n">
        <x:f>Sources!C561</x:f>
        <x:v>105325</x:v>
      </x:c>
      <x:c r="M136" s="18" t="n">
        <x:f>Sources!C674</x:f>
        <x:v>110814</x:v>
      </x:c>
      <x:c r="N136" s="16"/>
      <x:c r="O136" s="1"/>
      <x:c r="P136" s="1"/>
      <x:c r="Q136" s="1"/>
      <x:c r="R136" s="1"/>
    </x:row>
    <x:row r="137">
      <x:c r="C137" t="str">
        <x:v>Common stock</x:v>
      </x:c>
      <x:c r="G137" s="18" t="n">
        <x:f>Sources!C7</x:f>
        <x:v>23469</x:v>
      </x:c>
      <x:c r="H137" s="18" t="n">
        <x:f>Sources!C61</x:f>
        <x:v>23743</x:v>
      </x:c>
      <x:c r="I137" s="18" t="n">
        <x:f>Sources!C167</x:f>
        <x:v>24154</x:v>
      </x:c>
      <x:c r="J137" s="18" t="n">
        <x:f>Sources!C273</x:f>
        <x:v>24565</x:v>
      </x:c>
      <x:c r="K137" s="18" t="n">
        <x:f>Sources!C379</x:f>
        <x:v>24906</x:v>
      </x:c>
      <x:c r="L137" s="18" t="n">
        <x:f>Sources!C485</x:f>
        <x:v>25452</x:v>
      </x:c>
      <x:c r="M137" s="18" t="n">
        <x:f>Sources!C593</x:f>
        <x:v>25910</x:v>
      </x:c>
      <x:c r="N137" s="16"/>
      <x:c r="O137" s="1"/>
      <x:c r="P137" s="1"/>
      <x:c r="Q137" s="1"/>
      <x:c r="R137" s="1"/>
    </x:row>
    <x:row r="138">
      <x:c r="C138" t="str">
        <x:v>Retained earnings</x:v>
      </x:c>
      <x:c r="G138" s="18" t="n">
        <x:f>Sources!C29</x:f>
        <x:v>36977</x:v>
      </x:c>
      <x:c r="H138" s="18" t="n">
        <x:f>Sources!C127</x:f>
        <x:v>38771</x:v>
      </x:c>
      <x:c r="I138" s="18" t="n">
        <x:f>Sources!C233</x:f>
        <x:v>41555</x:v>
      </x:c>
      <x:c r="J138" s="18" t="n">
        <x:f>Sources!C339</x:f>
        <x:v>43516</x:v>
      </x:c>
      <x:c r="K138" s="18" t="n">
        <x:f>Sources!C445</x:f>
        <x:v>45591</x:v>
      </x:c>
      <x:c r="L138" s="18" t="n">
        <x:f>Sources!C551</x:f>
        <x:v>49630</x:v>
      </x:c>
      <x:c r="M138" s="18" t="n">
        <x:f>Sources!C664</x:f>
        <x:v>54931</x:v>
      </x:c>
      <x:c r="N138" s="16"/>
      <x:c r="O138" s="1"/>
      <x:c r="P138" s="1"/>
      <x:c r="Q138" s="1"/>
      <x:c r="R138" s="1"/>
    </x:row>
    <x:row r="139">
      <x:c r="C139" t="str">
        <x:v>Accumulated other comprehensive income</x:v>
      </x:c>
      <x:c r="G139" s="18" t="n">
        <x:f>Sources!C3</x:f>
        <x:v>640</x:v>
      </x:c>
      <x:c r="H139" s="18" t="n">
        <x:f>Sources!C40</x:f>
        <x:v>2502</x:v>
      </x:c>
      <x:c r="I139" s="18" t="n">
        <x:f>Sources!C146</x:f>
        <x:v>1193</x:v>
      </x:c>
      <x:c r="J139" s="18" t="n">
        <x:f>Sources!C252</x:f>
        <x:v>-6445</x:v>
      </x:c>
      <x:c r="K139" s="18" t="n">
        <x:f>Sources!C358</x:f>
        <x:v>-4471</x:v>
      </x:c>
      <x:c r="L139" s="18" t="n">
        <x:f>Sources!C464</x:f>
        <x:v>-4967</x:v>
      </x:c>
      <x:c r="M139" s="18" t="n">
        <x:f>Sources!C570</x:f>
        <x:v>-2500</x:v>
      </x:c>
      <x:c r="N139" s="16"/>
      <x:c r="O139" s="1"/>
      <x:c r="P139" s="1"/>
      <x:c r="Q139" s="1"/>
      <x:c r="R139" s="1"/>
    </x:row>
    <x:row r="140">
      <x:c r="C140" t="str">
        <x:v>Treasury stock at cost</x:v>
      </x:c>
      <x:c r="G140" s="18" t="n">
        <x:f>Sources!C35</x:f>
        <x:v>-35143</x:v>
      </x:c>
      <x:c r="H140" s="18" t="n">
        <x:f>Sources!C141</x:f>
        <x:v>-35815</x:v>
      </x:c>
      <x:c r="I140" s="18" t="n">
        <x:f>Sources!C247</x:f>
        <x:v>-38015</x:v>
      </x:c>
      <x:c r="J140" s="18" t="n">
        <x:f>Sources!C353</x:f>
        <x:v>-40076</x:v>
      </x:c>
      <x:c r="K140" s="18" t="n">
        <x:f>Sources!C459</x:f>
        <x:v>-41105</x:v>
      </x:c>
      <x:c r="L140" s="18" t="n">
        <x:f>Sources!C565</x:f>
        <x:v>-42251</x:v>
      </x:c>
      <x:c r="M140" s="18" t="n">
        <x:f>Sources!C678</x:f>
        <x:v>-45447</x:v>
      </x:c>
      <x:c r="N140" s="16"/>
      <x:c r="O140" s="1"/>
      <x:c r="P140" s="1"/>
      <x:c r="Q140" s="1"/>
      <x:c r="R140" s="1"/>
    </x:row>
    <x:row r="141">
      <x:c r="C141" t="str">
        <x:v>Asset line difference</x:v>
      </x:c>
      <x:c r="G141" s="1" t="n">
        <x:f>SUM(G65,G101,G121,G122,G44,G17,G50,G123,G124,G125,G126,G127,G128)-G129</x:f>
        <x:v>0</x:v>
      </x:c>
      <x:c r="H141" s="1" t="n">
        <x:f>SUM(H65,H101,H121,H122,H44,H17,H50,H123,H124,H125,H126,H127,H128)-H129</x:f>
        <x:v>0</x:v>
      </x:c>
      <x:c r="I141" s="1" t="n">
        <x:f>SUM(I65,I101,I121,I122,I44,I17,I50,I123,I124,I125,I126,I127,I128)-I129</x:f>
        <x:v>0</x:v>
      </x:c>
      <x:c r="J141" s="1" t="n">
        <x:f>SUM(J65,J101,J121,J122,J44,J17,J50,J123,J124,J125,J126,J127,J128)-J129</x:f>
        <x:v>0</x:v>
      </x:c>
      <x:c r="K141" s="1" t="n">
        <x:f>SUM(K65,K101,K121,K122,K44,K17,K50,K123,K124,K125,K126,K127,K128)-K129</x:f>
        <x:v>0</x:v>
      </x:c>
      <x:c r="L141" s="1" t="n">
        <x:f>SUM(L65,L101,L121,L122,L44,L17,L50,L123,L124,L125,L126,L127,L128)-L129</x:f>
        <x:v>0</x:v>
      </x:c>
      <x:c r="M141" s="1" t="n">
        <x:f>SUM(M65,M101,M121,M122,M44,M17,M50,M123,M124,M125,M126,M127,M128)-M129</x:f>
        <x:v>0</x:v>
      </x:c>
      <x:c r="N141" s="16"/>
      <x:c r="O141" s="1"/>
      <x:c r="P141" s="1"/>
      <x:c r="Q141" s="1"/>
      <x:c r="R141" s="1"/>
    </x:row>
    <x:row r="142">
      <x:c r="C142" t="str">
        <x:v>Liability line difference</x:v>
      </x:c>
      <x:c r="G142" s="1" t="n">
        <x:f>SUM(G130,G16,G92,G131,G132,G133,G134,G135)-G136</x:f>
        <x:v>0</x:v>
      </x:c>
      <x:c r="H142" s="1" t="n">
        <x:f>SUM(H130,H16,H92,H131,H132,H133,H134,H135)-H136</x:f>
        <x:v>0</x:v>
      </x:c>
      <x:c r="I142" s="1" t="n">
        <x:f>SUM(I130,I16,I92,I131,I132,I133,I134,I135)-I136</x:f>
        <x:v>0</x:v>
      </x:c>
      <x:c r="J142" s="1" t="n">
        <x:f>SUM(J130,J16,J92,J131,J132,J133,J134,J135)-J136</x:f>
        <x:v>0</x:v>
      </x:c>
      <x:c r="K142" s="1" t="n">
        <x:f>SUM(K130,K16,K92,K131,K132,K133,K134,K135)-K136</x:f>
        <x:v>0</x:v>
      </x:c>
      <x:c r="L142" s="1" t="n">
        <x:f>SUM(L130,L16,L92,L131,L132,L133,L134,L135)-L136</x:f>
        <x:v>0</x:v>
      </x:c>
      <x:c r="M142" s="1" t="n">
        <x:f>SUM(M130,M16,M92,M131,M132,M133,M134,M135)-M136</x:f>
        <x:v>0</x:v>
      </x:c>
      <x:c r="N142" s="16"/>
      <x:c r="O142" s="1"/>
      <x:c r="P142" s="1"/>
      <x:c r="Q142" s="1"/>
      <x:c r="R142" s="1"/>
    </x:row>
    <x:row r="143">
      <x:c r="C143" t="str">
        <x:v>Equity component difference</x:v>
      </x:c>
      <x:c r="G143" s="1" t="n">
        <x:f>SUM(G137,G138,G139,G140)-G86</x:f>
        <x:v>0</x:v>
      </x:c>
      <x:c r="H143" s="1" t="n">
        <x:f>SUM(H137,H138,H139,H140)-H86</x:f>
        <x:v>0</x:v>
      </x:c>
      <x:c r="I143" s="1" t="n">
        <x:f>SUM(I137,I138,I139,I140)-I86</x:f>
        <x:v>0</x:v>
      </x:c>
      <x:c r="J143" s="1" t="n">
        <x:f>SUM(J137,J138,J139,J140)-J86</x:f>
        <x:v>0</x:v>
      </x:c>
      <x:c r="K143" s="1" t="n">
        <x:f>SUM(K137,K138,K139,K140)-K86</x:f>
        <x:v>0</x:v>
      </x:c>
      <x:c r="L143" s="1" t="n">
        <x:f>SUM(L137,L138,L139,L140)-L86</x:f>
        <x:v>0</x:v>
      </x:c>
      <x:c r="M143" s="1" t="n">
        <x:f>SUM(M137,M138,M139,M140)-M86</x:f>
        <x:v>0</x:v>
      </x:c>
      <x:c r="N143" s="16"/>
      <x:c r="O143" s="1"/>
      <x:c r="P143" s="1"/>
      <x:c r="Q143" s="1"/>
      <x:c r="R143" s="1"/>
    </x:row>
    <x:row r="144">
      <x:c r="C144" t="str">
        <x:v>Assets less liabilities and equity</x:v>
      </x:c>
      <x:c r="G144" s="1" t="n">
        <x:f>G129-G136-G86</x:f>
        <x:v>0</x:v>
      </x:c>
      <x:c r="H144" s="1" t="n">
        <x:f>H129-H136-H86</x:f>
        <x:v>0</x:v>
      </x:c>
      <x:c r="I144" s="1" t="n">
        <x:f>I129-I136-I86</x:f>
        <x:v>0</x:v>
      </x:c>
      <x:c r="J144" s="1" t="n">
        <x:f>J129-J136-J86</x:f>
        <x:v>0</x:v>
      </x:c>
      <x:c r="K144" s="1" t="n">
        <x:f>K129-K136-K86</x:f>
        <x:v>0</x:v>
      </x:c>
      <x:c r="L144" s="1" t="n">
        <x:f>L129-L136-L86</x:f>
        <x:v>0</x:v>
      </x:c>
      <x:c r="M144" s="1" t="n">
        <x:f>M129-M136-M86</x:f>
        <x:v>0</x:v>
      </x:c>
      <x:c r="N144" s="16"/>
      <x:c r="O144" s="1"/>
      <x:c r="P144" s="1"/>
      <x:c r="Q144" s="1"/>
      <x:c r="R144" s="1"/>
    </x:row>
    <x:row r="145">
      <x:c r="G145" s="1"/>
      <x:c r="H145" s="1"/>
      <x:c r="I145" s="1"/>
      <x:c r="J145" s="1"/>
      <x:c r="K145" s="1"/>
      <x:c r="L145" s="1"/>
      <x:c r="M145" s="1"/>
      <x:c r="N145" s="16"/>
      <x:c r="O145" s="1"/>
      <x:c r="P145" s="1"/>
      <x:c r="Q145" s="1"/>
      <x:c r="R145" s="1"/>
    </x:row>
    <x:row r="146">
      <x:c r="G146" s="1"/>
      <x:c r="H146" s="1"/>
      <x:c r="I146" s="1"/>
      <x:c r="J146" s="1"/>
      <x:c r="K146" s="1"/>
      <x:c r="L146" s="1"/>
      <x:c r="M146" s="1"/>
      <x:c r="N146" s="16"/>
      <x:c r="O146" s="1"/>
      <x:c r="P146" s="1"/>
      <x:c r="Q146" s="1"/>
      <x:c r="R146" s="1"/>
    </x:row>
    <x:row r="147">
      <x:c r="G147" s="1"/>
      <x:c r="H147" s="1"/>
      <x:c r="I147" s="1"/>
      <x:c r="J147" s="1"/>
      <x:c r="K147" s="1"/>
      <x:c r="L147" s="1"/>
      <x:c r="M147" s="1"/>
      <x:c r="N147" s="16"/>
      <x:c r="O147" s="1"/>
      <x:c r="P147" s="1"/>
      <x:c r="Q147" s="1"/>
      <x:c r="R147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0" hidden="0" customWidth="1"/>
    <x:col min="4" max="4" width="7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2"/>
      <x:c r="C2" s="31" t="str">
        <x:v>Research output status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2"/>
      <x:c r="C5" s="2" t="str">
        <x:v>Price target</x:v>
      </x:c>
      <x:c r="D5" s="2" t="str">
        <x:v>Pending integrated forecast and market input review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>
      <x:c r="A7" s="2"/>
      <x:c r="B7" s="2"/>
      <x:c r="C7" s="2" t="str">
        <x:v>Historical controls</x:v>
      </x:c>
      <x:c r="D7" s="2" t="str">
        <x:v>Premium, reserve, audited income, balance sheet, cash, equity and financing checks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>
      <x:c r="A8" s="2"/>
      <x:c r="B8" s="2"/>
      <x:c r="C8" s="2" t="str">
        <x:v>Open work</x:v>
      </x:c>
      <x:c r="D8" s="2" t="str">
        <x:v>Canada disposal perimeter; UPR/DAC/investment/debt bridges; forecast statements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>
      <x:c r="C9" t="str">
        <x:v>Forecast scope</x:v>
      </x:c>
      <x:c r="D9" t="str">
        <x:v>Illustrative constant FY2025 perimeter; excludes January 2, 2026 Canadian sale</x:v>
      </x:c>
    </x:row>
    <x:row r="10">
      <x:c r="C10" t="str">
        <x:v>Scenario result</x:v>
      </x:c>
      <x:c r="D10" t="str">
        <x:f>Scenarios!D6</x:f>
        <x:v>Base</x:v>
      </x:c>
    </x:row>
    <x:row r="11">
      <x:c r="C11" t="str">
        <x:v>2030 net earned premiums</x:v>
      </x:c>
      <x:c r="D11" s="33" t="n">
        <x:f>Model!R22</x:f>
        <x:v>53029.62380822447</x:v>
      </x:c>
    </x:row>
    <x:row r="12">
      <x:c r="C12" t="str">
        <x:v>2030 net P&amp;C reserves</x:v>
      </x:c>
      <x:c r="D12" s="33" t="n">
        <x:f>Model!R37</x:f>
        <x:v>79257.95035623772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39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8" hidden="0" customWidth="1"/>
    <x:col min="9" max="9" width="38" hidden="0" customWidth="1"/>
    <x:col min="10" max="10" width="38" hidden="0" customWidth="1"/>
  </x:cols>
  <x:sheetData>
    <x:row r="1">
      <x:c r="A1" s="5" t="str">
        <x:v>Year</x:v>
      </x:c>
      <x:c r="B1" s="5" t="str">
        <x:v>Metric ID</x:v>
      </x:c>
      <x:c r="C1" s="5" t="str">
        <x:v>Value</x:v>
      </x:c>
      <x:c r="D1" s="5" t="str">
        <x:v>Status</x:v>
      </x:c>
      <x:c r="E1" s="5" t="str">
        <x:v>Source ID</x:v>
      </x:c>
      <x:c r="F1" s="5" t="str">
        <x:v>PDF page</x:v>
      </x:c>
      <x:c r="G1" s="5" t="str">
        <x:v>SEC filed</x:v>
      </x:c>
      <x:c r="H1" s="5" t="str">
        <x:v>Annual report PDF</x:v>
      </x:c>
      <x:c r="I1" s="5" t="str">
        <x:v>SEC filing</x:v>
      </x:c>
      <x:c r="J1" s="5" t="str">
        <x:v>PDF SHA-256</x:v>
      </x:c>
      <x:c r="K1" s="2"/>
      <x:c r="L1" s="2"/>
      <x:c r="M1" s="2"/>
      <x:c r="N1" s="2"/>
      <x:c r="O1" s="2"/>
      <x:c r="P1" s="2"/>
      <x:c r="Q1" s="2"/>
      <x:c r="R1" s="2"/>
    </x:row>
    <x:row r="2">
      <x:c r="A2" s="2" t="n">
        <x:v>2019</x:v>
      </x:c>
      <x:c r="B2" s="2" t="str">
        <x:v>accrued_investment_income</x:v>
      </x:c>
      <x:c r="C2" s="3" t="n">
        <x:v>618</x:v>
      </x:c>
      <x:c r="D2" s="2" t="str">
        <x:v>disclosed</x:v>
      </x:c>
      <x:c r="E2" s="2" t="str">
        <x:v>trv_ar_2019</x:v>
      </x:c>
      <x:c r="F2" s="2" t="n">
        <x:v>145</x:v>
      </x:c>
      <x:c r="G2" s="2" t="str">
        <x:v>2020-02-13</x:v>
      </x:c>
      <x:c r="H2" s="2" t="str">
        <x:v>https://s26.q4cdn.com/410417801/files/doc_financials/annual/2019/TRV_2019_Annual_Report.pdf</x:v>
      </x:c>
      <x:c r="I2" s="2" t="str">
        <x:v>https://www.sec.gov/Archives/edgar/data/86312/000008631220000011/0000086312-20-000011-index.htm</x:v>
      </x:c>
      <x:c r="J2" s="2" t="str">
        <x:v>e0093d65a08001302da004d0efc202507906360fc9a05c2e4f935979a1383533</x:v>
      </x:c>
      <x:c r="K2" s="2"/>
      <x:c r="L2" s="2"/>
      <x:c r="M2" s="2"/>
      <x:c r="N2" s="2"/>
      <x:c r="O2" s="2"/>
      <x:c r="P2" s="2"/>
      <x:c r="Q2" s="2"/>
      <x:c r="R2" s="2"/>
    </x:row>
    <x:row r="3">
      <x:c r="A3" s="2" t="n">
        <x:v>2019</x:v>
      </x:c>
      <x:c r="B3" s="2" t="str">
        <x:v>aoci</x:v>
      </x:c>
      <x:c r="C3" s="3" t="n">
        <x:v>640</x:v>
      </x:c>
      <x:c r="D3" s="2" t="str">
        <x:v>disclosed</x:v>
      </x:c>
      <x:c r="E3" s="2" t="str">
        <x:v>trv_ar_2019</x:v>
      </x:c>
      <x:c r="F3" s="2" t="n">
        <x:v>145</x:v>
      </x:c>
      <x:c r="G3" s="2" t="str">
        <x:v>2020-02-13</x:v>
      </x:c>
      <x:c r="H3" s="2" t="str">
        <x:v>https://s26.q4cdn.com/410417801/files/doc_financials/annual/2019/TRV_2019_Annual_Report.pdf</x:v>
      </x:c>
      <x:c r="I3" s="2" t="str">
        <x:v>https://www.sec.gov/Archives/edgar/data/86312/000008631220000011/0000086312-20-000011-index.htm</x:v>
      </x:c>
      <x:c r="J3" s="2" t="str">
        <x:v>e0093d65a08001302da004d0efc202507906360fc9a05c2e4f935979a1383533</x:v>
      </x:c>
      <x:c r="K3" s="2"/>
      <x:c r="L3" s="2"/>
      <x:c r="M3" s="2"/>
      <x:c r="N3" s="2"/>
      <x:c r="O3" s="2"/>
      <x:c r="P3" s="2"/>
      <x:c r="Q3" s="2"/>
      <x:c r="R3" s="2"/>
    </x:row>
    <x:row r="4">
      <x:c r="A4" s="2" t="n">
        <x:v>2019</x:v>
      </x:c>
      <x:c r="B4" s="2" t="str">
        <x:v>balance_sheet_claim_reserves</x:v>
      </x:c>
      <x:c r="C4" s="3" t="n">
        <x:v>51849</x:v>
      </x:c>
      <x:c r="D4" s="2" t="str">
        <x:v>disclosed</x:v>
      </x:c>
      <x:c r="E4" s="2" t="str">
        <x:v>trv_ar_2019</x:v>
      </x:c>
      <x:c r="F4" s="2" t="n">
        <x:v>145</x:v>
      </x:c>
      <x:c r="G4" s="2" t="str">
        <x:v>2020-02-13</x:v>
      </x:c>
      <x:c r="H4" s="2" t="str">
        <x:v>https://s26.q4cdn.com/410417801/files/doc_financials/annual/2019/TRV_2019_Annual_Report.pdf</x:v>
      </x:c>
      <x:c r="I4" s="2" t="str">
        <x:v>https://www.sec.gov/Archives/edgar/data/86312/000008631220000011/0000086312-20-000011-index.htm</x:v>
      </x:c>
      <x:c r="J4" s="2" t="str">
        <x:v>e0093d65a08001302da004d0efc202507906360fc9a05c2e4f935979a1383533</x:v>
      </x:c>
      <x:c r="K4" s="2"/>
      <x:c r="L4" s="2"/>
      <x:c r="M4" s="2"/>
      <x:c r="N4" s="2"/>
      <x:c r="O4" s="2"/>
      <x:c r="P4" s="2"/>
      <x:c r="Q4" s="2"/>
      <x:c r="R4" s="2"/>
    </x:row>
    <x:row r="5">
      <x:c r="A5" s="2" t="n">
        <x:v>2019</x:v>
      </x:c>
      <x:c r="B5" s="2" t="str">
        <x:v>cash</x:v>
      </x:c>
      <x:c r="C5" s="3" t="n">
        <x:v>494</x:v>
      </x:c>
      <x:c r="D5" s="2" t="str">
        <x:v>disclosed</x:v>
      </x:c>
      <x:c r="E5" s="2" t="str">
        <x:v>trv_ar_2019</x:v>
      </x:c>
      <x:c r="F5" s="2" t="n">
        <x:v>145</x:v>
      </x:c>
      <x:c r="G5" s="2" t="str">
        <x:v>2020-02-13</x:v>
      </x:c>
      <x:c r="H5" s="2" t="str">
        <x:v>https://s26.q4cdn.com/410417801/files/doc_financials/annual/2019/TRV_2019_Annual_Report.pdf</x:v>
      </x:c>
      <x:c r="I5" s="2" t="str">
        <x:v>https://www.sec.gov/Archives/edgar/data/86312/000008631220000011/0000086312-20-000011-index.htm</x:v>
      </x:c>
      <x:c r="J5" s="2" t="str">
        <x:v>e0093d65a08001302da004d0efc202507906360fc9a05c2e4f935979a1383533</x:v>
      </x:c>
      <x:c r="K5" s="2"/>
      <x:c r="L5" s="2"/>
      <x:c r="M5" s="2"/>
      <x:c r="N5" s="2"/>
      <x:c r="O5" s="2"/>
      <x:c r="P5" s="2"/>
      <x:c r="Q5" s="2"/>
      <x:c r="R5" s="2"/>
    </x:row>
    <x:row r="6">
      <x:c r="A6" s="2" t="n">
        <x:v>2019</x:v>
      </x:c>
      <x:c r="B6" s="2" t="str">
        <x:v>ceded_upr</x:v>
      </x:c>
      <x:c r="C6" s="3" t="n">
        <x:v>689</x:v>
      </x:c>
      <x:c r="D6" s="2" t="str">
        <x:v>disclosed</x:v>
      </x:c>
      <x:c r="E6" s="2" t="str">
        <x:v>trv_ar_2019</x:v>
      </x:c>
      <x:c r="F6" s="2" t="n">
        <x:v>145</x:v>
      </x:c>
      <x:c r="G6" s="2" t="str">
        <x:v>2020-02-13</x:v>
      </x:c>
      <x:c r="H6" s="2" t="str">
        <x:v>https://s26.q4cdn.com/410417801/files/doc_financials/annual/2019/TRV_2019_Annual_Report.pdf</x:v>
      </x:c>
      <x:c r="I6" s="2" t="str">
        <x:v>https://www.sec.gov/Archives/edgar/data/86312/000008631220000011/0000086312-20-000011-index.htm</x:v>
      </x:c>
      <x:c r="J6" s="2" t="str">
        <x:v>e0093d65a08001302da004d0efc202507906360fc9a05c2e4f935979a1383533</x:v>
      </x:c>
      <x:c r="K6" s="2"/>
      <x:c r="L6" s="2"/>
      <x:c r="M6" s="2"/>
      <x:c r="N6" s="2"/>
      <x:c r="O6" s="2"/>
      <x:c r="P6" s="2"/>
      <x:c r="Q6" s="2"/>
      <x:c r="R6" s="2"/>
    </x:row>
    <x:row r="7">
      <x:c r="A7" s="2" t="n">
        <x:v>2019</x:v>
      </x:c>
      <x:c r="B7" s="2" t="str">
        <x:v>common_stock</x:v>
      </x:c>
      <x:c r="C7" s="3" t="n">
        <x:v>23469</x:v>
      </x:c>
      <x:c r="D7" s="2" t="str">
        <x:v>disclosed</x:v>
      </x:c>
      <x:c r="E7" s="2" t="str">
        <x:v>trv_ar_2019</x:v>
      </x:c>
      <x:c r="F7" s="2" t="n">
        <x:v>145</x:v>
      </x:c>
      <x:c r="G7" s="2" t="str">
        <x:v>2020-02-13</x:v>
      </x:c>
      <x:c r="H7" s="2" t="str">
        <x:v>https://s26.q4cdn.com/410417801/files/doc_financials/annual/2019/TRV_2019_Annual_Report.pdf</x:v>
      </x:c>
      <x:c r="I7" s="2" t="str">
        <x:v>https://www.sec.gov/Archives/edgar/data/86312/000008631220000011/0000086312-20-000011-index.htm</x:v>
      </x:c>
      <x:c r="J7" s="2" t="str">
        <x:v>e0093d65a08001302da004d0efc202507906360fc9a05c2e4f935979a1383533</x:v>
      </x:c>
      <x:c r="K7" s="2"/>
      <x:c r="L7" s="2"/>
      <x:c r="M7" s="2"/>
      <x:c r="N7" s="2"/>
      <x:c r="O7" s="2"/>
      <x:c r="P7" s="2"/>
      <x:c r="Q7" s="2"/>
      <x:c r="R7" s="2"/>
    </x:row>
    <x:row r="8">
      <x:c r="A8" s="2" t="n">
        <x:v>2019</x:v>
      </x:c>
      <x:c r="B8" s="2" t="str">
        <x:v>contractholder_payables</x:v>
      </x:c>
      <x:c r="C8" s="3" t="n">
        <x:v>4619</x:v>
      </x:c>
      <x:c r="D8" s="2" t="str">
        <x:v>disclosed</x:v>
      </x:c>
      <x:c r="E8" s="2" t="str">
        <x:v>trv_ar_2019</x:v>
      </x:c>
      <x:c r="F8" s="2" t="n">
        <x:v>145</x:v>
      </x:c>
      <x:c r="G8" s="2" t="str">
        <x:v>2020-02-13</x:v>
      </x:c>
      <x:c r="H8" s="2" t="str">
        <x:v>https://s26.q4cdn.com/410417801/files/doc_financials/annual/2019/TRV_2019_Annual_Report.pdf</x:v>
      </x:c>
      <x:c r="I8" s="2" t="str">
        <x:v>https://www.sec.gov/Archives/edgar/data/86312/000008631220000011/0000086312-20-000011-index.htm</x:v>
      </x:c>
      <x:c r="J8" s="2" t="str">
        <x:v>e0093d65a08001302da004d0efc202507906360fc9a05c2e4f935979a1383533</x:v>
      </x:c>
      <x:c r="K8" s="2"/>
      <x:c r="L8" s="2"/>
      <x:c r="M8" s="2"/>
      <x:c r="N8" s="2"/>
      <x:c r="O8" s="2"/>
      <x:c r="P8" s="2"/>
      <x:c r="Q8" s="2"/>
      <x:c r="R8" s="2"/>
    </x:row>
    <x:row r="9">
      <x:c r="A9" t="n">
        <x:v>2019</x:v>
      </x:c>
      <x:c r="B9" t="str">
        <x:v>contractholder_receivables</x:v>
      </x:c>
      <x:c r="C9" s="1" t="n">
        <x:v>4619</x:v>
      </x:c>
      <x:c r="D9" t="str">
        <x:v>disclosed</x:v>
      </x:c>
      <x:c r="E9" t="str">
        <x:v>trv_ar_2019</x:v>
      </x:c>
      <x:c r="F9" t="n">
        <x:v>145</x:v>
      </x:c>
      <x:c r="G9" t="str">
        <x:v>2020-02-13</x:v>
      </x:c>
      <x:c r="H9" t="str">
        <x:v>https://s26.q4cdn.com/410417801/files/doc_financials/annual/2019/TRV_2019_Annual_Report.pdf</x:v>
      </x:c>
      <x:c r="I9" t="str">
        <x:v>https://www.sec.gov/Archives/edgar/data/86312/000008631220000011/0000086312-20-000011-index.htm</x:v>
      </x:c>
      <x:c r="J9" t="str">
        <x:v>e0093d65a08001302da004d0efc202507906360fc9a05c2e4f935979a1383533</x:v>
      </x:c>
    </x:row>
    <x:row r="10">
      <x:c r="A10" t="n">
        <x:v>2019</x:v>
      </x:c>
      <x:c r="B10" t="str">
        <x:v>dac</x:v>
      </x:c>
      <x:c r="C10" s="1" t="n">
        <x:v>2273</x:v>
      </x:c>
      <x:c r="D10" t="str">
        <x:v>disclosed</x:v>
      </x:c>
      <x:c r="E10" t="str">
        <x:v>trv_ar_2019</x:v>
      </x:c>
      <x:c r="F10" t="n">
        <x:v>145</x:v>
      </x:c>
      <x:c r="G10" t="str">
        <x:v>2020-02-13</x:v>
      </x:c>
      <x:c r="H10" t="str">
        <x:v>https://s26.q4cdn.com/410417801/files/doc_financials/annual/2019/TRV_2019_Annual_Report.pdf</x:v>
      </x:c>
      <x:c r="I10" t="str">
        <x:v>https://www.sec.gov/Archives/edgar/data/86312/000008631220000011/0000086312-20-000011-index.htm</x:v>
      </x:c>
      <x:c r="J10" t="str">
        <x:v>e0093d65a08001302da004d0efc202507906360fc9a05c2e4f935979a1383533</x:v>
      </x:c>
    </x:row>
    <x:row r="11">
      <x:c r="A11" t="n">
        <x:v>2019</x:v>
      </x:c>
      <x:c r="B11" t="str">
        <x:v>debt</x:v>
      </x:c>
      <x:c r="C11" s="1" t="n">
        <x:v>6558</x:v>
      </x:c>
      <x:c r="D11" t="str">
        <x:v>disclosed</x:v>
      </x:c>
      <x:c r="E11" t="str">
        <x:v>trv_ar_2019</x:v>
      </x:c>
      <x:c r="F11" t="n">
        <x:v>145</x:v>
      </x:c>
      <x:c r="G11" t="str">
        <x:v>2020-02-13</x:v>
      </x:c>
      <x:c r="H11" t="str">
        <x:v>https://s26.q4cdn.com/410417801/files/doc_financials/annual/2019/TRV_2019_Annual_Report.pdf</x:v>
      </x:c>
      <x:c r="I11" t="str">
        <x:v>https://www.sec.gov/Archives/edgar/data/86312/000008631220000011/0000086312-20-000011-index.htm</x:v>
      </x:c>
      <x:c r="J11" t="str">
        <x:v>e0093d65a08001302da004d0efc202507906360fc9a05c2e4f935979a1383533</x:v>
      </x:c>
    </x:row>
    <x:row r="12">
      <x:c r="A12" t="n">
        <x:v>2019</x:v>
      </x:c>
      <x:c r="B12" t="str">
        <x:v>deferred_tax_liability</x:v>
      </x:c>
      <x:c r="C12" s="1" t="n">
        <x:v>137</x:v>
      </x:c>
      <x:c r="D12" t="str">
        <x:v>disclosed</x:v>
      </x:c>
      <x:c r="E12" t="str">
        <x:v>trv_ar_2019</x:v>
      </x:c>
      <x:c r="F12" t="n">
        <x:v>145</x:v>
      </x:c>
      <x:c r="G12" t="str">
        <x:v>2020-02-13</x:v>
      </x:c>
      <x:c r="H12" t="str">
        <x:v>https://s26.q4cdn.com/410417801/files/doc_financials/annual/2019/TRV_2019_Annual_Report.pdf</x:v>
      </x:c>
      <x:c r="I12" t="str">
        <x:v>https://www.sec.gov/Archives/edgar/data/86312/000008631220000011/0000086312-20-000011-index.htm</x:v>
      </x:c>
      <x:c r="J12" t="str">
        <x:v>e0093d65a08001302da004d0efc202507906360fc9a05c2e4f935979a1383533</x:v>
      </x:c>
    </x:row>
    <x:row r="13">
      <x:c r="A13" t="n">
        <x:v>2019</x:v>
      </x:c>
      <x:c r="B13" t="str">
        <x:v>equity</x:v>
      </x:c>
      <x:c r="C13" s="1" t="n">
        <x:v>25943</x:v>
      </x:c>
      <x:c r="D13" t="str">
        <x:v>disclosed</x:v>
      </x:c>
      <x:c r="E13" t="str">
        <x:v>trv_ar_2019</x:v>
      </x:c>
      <x:c r="F13" t="n">
        <x:v>145</x:v>
      </x:c>
      <x:c r="G13" t="str">
        <x:v>2020-02-13</x:v>
      </x:c>
      <x:c r="H13" t="str">
        <x:v>https://s26.q4cdn.com/410417801/files/doc_financials/annual/2019/TRV_2019_Annual_Report.pdf</x:v>
      </x:c>
      <x:c r="I13" t="str">
        <x:v>https://www.sec.gov/Archives/edgar/data/86312/000008631220000011/0000086312-20-000011-index.htm</x:v>
      </x:c>
      <x:c r="J13" t="str">
        <x:v>e0093d65a08001302da004d0efc202507906360fc9a05c2e4f935979a1383533</x:v>
      </x:c>
    </x:row>
    <x:row r="14">
      <x:c r="A14" t="n">
        <x:v>2019</x:v>
      </x:c>
      <x:c r="B14" t="str">
        <x:v>equity_investments</x:v>
      </x:c>
      <x:c r="C14" s="1" t="n">
        <x:v>425</x:v>
      </x:c>
      <x:c r="D14" t="str">
        <x:v>disclosed</x:v>
      </x:c>
      <x:c r="E14" t="str">
        <x:v>trv_ar_2019</x:v>
      </x:c>
      <x:c r="F14" t="n">
        <x:v>145</x:v>
      </x:c>
      <x:c r="G14" t="str">
        <x:v>2020-02-13</x:v>
      </x:c>
      <x:c r="H14" t="str">
        <x:v>https://s26.q4cdn.com/410417801/files/doc_financials/annual/2019/TRV_2019_Annual_Report.pdf</x:v>
      </x:c>
      <x:c r="I14" t="str">
        <x:v>https://www.sec.gov/Archives/edgar/data/86312/000008631220000011/0000086312-20-000011-index.htm</x:v>
      </x:c>
      <x:c r="J14" t="str">
        <x:v>e0093d65a08001302da004d0efc202507906360fc9a05c2e4f935979a1383533</x:v>
      </x:c>
    </x:row>
    <x:row r="15">
      <x:c r="A15" t="n">
        <x:v>2019</x:v>
      </x:c>
      <x:c r="B15" t="str">
        <x:v>fixed_maturity_cost</x:v>
      </x:c>
      <x:c r="C15" s="1" t="n">
        <x:v>65281</x:v>
      </x:c>
      <x:c r="D15" t="str">
        <x:v>disclosed</x:v>
      </x:c>
      <x:c r="E15" t="str">
        <x:v>trv_ar_2019</x:v>
      </x:c>
      <x:c r="F15" t="n">
        <x:v>145</x:v>
      </x:c>
      <x:c r="G15" t="str">
        <x:v>2020-02-13</x:v>
      </x:c>
      <x:c r="H15" t="str">
        <x:v>https://s26.q4cdn.com/410417801/files/doc_financials/annual/2019/TRV_2019_Annual_Report.pdf</x:v>
      </x:c>
      <x:c r="I15" t="str">
        <x:v>https://www.sec.gov/Archives/edgar/data/86312/000008631220000011/0000086312-20-000011-index.htm</x:v>
      </x:c>
      <x:c r="J15" t="str">
        <x:v>e0093d65a08001302da004d0efc202507906360fc9a05c2e4f935979a1383533</x:v>
      </x:c>
    </x:row>
    <x:row r="16">
      <x:c r="A16" t="n">
        <x:v>2019</x:v>
      </x:c>
      <x:c r="B16" t="str">
        <x:v>fixed_maturity_fair</x:v>
      </x:c>
      <x:c r="C16" s="1" t="n">
        <x:v>68134</x:v>
      </x:c>
      <x:c r="D16" t="str">
        <x:v>disclosed</x:v>
      </x:c>
      <x:c r="E16" t="str">
        <x:v>trv_ar_2019</x:v>
      </x:c>
      <x:c r="F16" t="n">
        <x:v>145</x:v>
      </x:c>
      <x:c r="G16" t="str">
        <x:v>2020-02-13</x:v>
      </x:c>
      <x:c r="H16" t="str">
        <x:v>https://s26.q4cdn.com/410417801/files/doc_financials/annual/2019/TRV_2019_Annual_Report.pdf</x:v>
      </x:c>
      <x:c r="I16" t="str">
        <x:v>https://www.sec.gov/Archives/edgar/data/86312/000008631220000011/0000086312-20-000011-index.htm</x:v>
      </x:c>
      <x:c r="J16" t="str">
        <x:v>e0093d65a08001302da004d0efc202507906360fc9a05c2e4f935979a1383533</x:v>
      </x:c>
    </x:row>
    <x:row r="17">
      <x:c r="A17" t="n">
        <x:v>2019</x:v>
      </x:c>
      <x:c r="B17" t="str">
        <x:v>goodwill</x:v>
      </x:c>
      <x:c r="C17" s="1" t="n">
        <x:v>3961</x:v>
      </x:c>
      <x:c r="D17" t="str">
        <x:v>disclosed</x:v>
      </x:c>
      <x:c r="E17" t="str">
        <x:v>trv_ar_2019</x:v>
      </x:c>
      <x:c r="F17" t="n">
        <x:v>145</x:v>
      </x:c>
      <x:c r="G17" t="str">
        <x:v>2020-02-13</x:v>
      </x:c>
      <x:c r="H17" t="str">
        <x:v>https://s26.q4cdn.com/410417801/files/doc_financials/annual/2019/TRV_2019_Annual_Report.pdf</x:v>
      </x:c>
      <x:c r="I17" t="str">
        <x:v>https://www.sec.gov/Archives/edgar/data/86312/000008631220000011/0000086312-20-000011-index.htm</x:v>
      </x:c>
      <x:c r="J17" t="str">
        <x:v>e0093d65a08001302da004d0efc202507906360fc9a05c2e4f935979a1383533</x:v>
      </x:c>
    </x:row>
    <x:row r="18">
      <x:c r="A18" t="n">
        <x:v>2019</x:v>
      </x:c>
      <x:c r="B18" t="str">
        <x:v>gross_reserves</x:v>
      </x:c>
      <x:c r="C18" s="1" t="n">
        <x:v>51836</x:v>
      </x:c>
      <x:c r="D18" t="str">
        <x:v>disclosed</x:v>
      </x:c>
      <x:c r="E18" t="str">
        <x:v>trv_ar_2019</x:v>
      </x:c>
      <x:c r="F18" t="n">
        <x:v>180</x:v>
      </x:c>
      <x:c r="G18" t="str">
        <x:v>2020-02-13</x:v>
      </x:c>
      <x:c r="H18" t="str">
        <x:v>https://s26.q4cdn.com/410417801/files/doc_financials/annual/2019/TRV_2019_Annual_Report.pdf</x:v>
      </x:c>
      <x:c r="I18" t="str">
        <x:v>https://www.sec.gov/Archives/edgar/data/86312/000008631220000011/0000086312-20-000011-index.htm</x:v>
      </x:c>
      <x:c r="J18" t="str">
        <x:v>e0093d65a08001302da004d0efc202507906360fc9a05c2e4f935979a1383533</x:v>
      </x:c>
    </x:row>
    <x:row r="19">
      <x:c r="A19" t="n">
        <x:v>2019</x:v>
      </x:c>
      <x:c r="B19" t="str">
        <x:v>gross_upr</x:v>
      </x:c>
      <x:c r="C19" s="1" t="n">
        <x:v>14604</x:v>
      </x:c>
      <x:c r="D19" t="str">
        <x:v>disclosed</x:v>
      </x:c>
      <x:c r="E19" t="str">
        <x:v>trv_ar_2019</x:v>
      </x:c>
      <x:c r="F19" t="n">
        <x:v>145</x:v>
      </x:c>
      <x:c r="G19" t="str">
        <x:v>2020-02-13</x:v>
      </x:c>
      <x:c r="H19" t="str">
        <x:v>https://s26.q4cdn.com/410417801/files/doc_financials/annual/2019/TRV_2019_Annual_Report.pdf</x:v>
      </x:c>
      <x:c r="I19" t="str">
        <x:v>https://www.sec.gov/Archives/edgar/data/86312/000008631220000011/0000086312-20-000011-index.htm</x:v>
      </x:c>
      <x:c r="J19" t="str">
        <x:v>e0093d65a08001302da004d0efc202507906360fc9a05c2e4f935979a1383533</x:v>
      </x:c>
    </x:row>
    <x:row r="20">
      <x:c r="A20" t="n">
        <x:v>2019</x:v>
      </x:c>
      <x:c r="B20" t="str">
        <x:v>intangible_assets</x:v>
      </x:c>
      <x:c r="C20" s="1" t="n">
        <x:v>330</x:v>
      </x:c>
      <x:c r="D20" t="str">
        <x:v>disclosed</x:v>
      </x:c>
      <x:c r="E20" t="str">
        <x:v>trv_ar_2019</x:v>
      </x:c>
      <x:c r="F20" t="n">
        <x:v>145</x:v>
      </x:c>
      <x:c r="G20" t="str">
        <x:v>2020-02-13</x:v>
      </x:c>
      <x:c r="H20" t="str">
        <x:v>https://s26.q4cdn.com/410417801/files/doc_financials/annual/2019/TRV_2019_Annual_Report.pdf</x:v>
      </x:c>
      <x:c r="I20" t="str">
        <x:v>https://www.sec.gov/Archives/edgar/data/86312/000008631220000011/0000086312-20-000011-index.htm</x:v>
      </x:c>
      <x:c r="J20" t="str">
        <x:v>e0093d65a08001302da004d0efc202507906360fc9a05c2e4f935979a1383533</x:v>
      </x:c>
    </x:row>
    <x:row r="21">
      <x:c r="A21" t="n">
        <x:v>2019</x:v>
      </x:c>
      <x:c r="B21" t="str">
        <x:v>net_reserves</x:v>
      </x:c>
      <x:c r="C21" s="1" t="n">
        <x:v>43801</x:v>
      </x:c>
      <x:c r="D21" t="str">
        <x:v>disclosed</x:v>
      </x:c>
      <x:c r="E21" t="str">
        <x:v>trv_ar_2019</x:v>
      </x:c>
      <x:c r="F21" t="n">
        <x:v>180</x:v>
      </x:c>
      <x:c r="G21" t="str">
        <x:v>2020-02-13</x:v>
      </x:c>
      <x:c r="H21" t="str">
        <x:v>https://s26.q4cdn.com/410417801/files/doc_financials/annual/2019/TRV_2019_Annual_Report.pdf</x:v>
      </x:c>
      <x:c r="I21" t="str">
        <x:v>https://www.sec.gov/Archives/edgar/data/86312/000008631220000011/0000086312-20-000011-index.htm</x:v>
      </x:c>
      <x:c r="J21" t="str">
        <x:v>e0093d65a08001302da004d0efc202507906360fc9a05c2e4f935979a1383533</x:v>
      </x:c>
    </x:row>
    <x:row r="22">
      <x:c r="A22" t="n">
        <x:v>2019</x:v>
      </x:c>
      <x:c r="B22" t="str">
        <x:v>net_upr</x:v>
      </x:c>
      <x:c r="C22" s="1" t="n">
        <x:v>13915</x:v>
      </x:c>
      <x:c r="D22" t="str">
        <x:v>derived</x:v>
      </x:c>
      <x:c r="E22" t="str">
        <x:v>trv_ar_2019</x:v>
      </x:c>
      <x:c r="F22" t="n">
        <x:v>145</x:v>
      </x:c>
      <x:c r="G22" t="str">
        <x:v>2020-02-13</x:v>
      </x:c>
      <x:c r="H22" t="str">
        <x:v>https://s26.q4cdn.com/410417801/files/doc_financials/annual/2019/TRV_2019_Annual_Report.pdf</x:v>
      </x:c>
      <x:c r="I22" t="str">
        <x:v>https://www.sec.gov/Archives/edgar/data/86312/000008631220000011/0000086312-20-000011-index.htm</x:v>
      </x:c>
      <x:c r="J22" t="str">
        <x:v>e0093d65a08001302da004d0efc202507906360fc9a05c2e4f935979a1383533</x:v>
      </x:c>
    </x:row>
    <x:row r="23">
      <x:c r="A23" t="n">
        <x:v>2019</x:v>
      </x:c>
      <x:c r="B23" t="str">
        <x:v>other_assets</x:v>
      </x:c>
      <x:c r="C23" s="1" t="n">
        <x:v>3110</x:v>
      </x:c>
      <x:c r="D23" t="str">
        <x:v>disclosed</x:v>
      </x:c>
      <x:c r="E23" t="str">
        <x:v>trv_ar_2019</x:v>
      </x:c>
      <x:c r="F23" t="n">
        <x:v>145</x:v>
      </x:c>
      <x:c r="G23" t="str">
        <x:v>2020-02-13</x:v>
      </x:c>
      <x:c r="H23" t="str">
        <x:v>https://s26.q4cdn.com/410417801/files/doc_financials/annual/2019/TRV_2019_Annual_Report.pdf</x:v>
      </x:c>
      <x:c r="I23" t="str">
        <x:v>https://www.sec.gov/Archives/edgar/data/86312/000008631220000011/0000086312-20-000011-index.htm</x:v>
      </x:c>
      <x:c r="J23" t="str">
        <x:v>e0093d65a08001302da004d0efc202507906360fc9a05c2e4f935979a1383533</x:v>
      </x:c>
    </x:row>
    <x:row r="24">
      <x:c r="A24" t="n">
        <x:v>2019</x:v>
      </x:c>
      <x:c r="B24" t="str">
        <x:v>other_investments</x:v>
      </x:c>
      <x:c r="C24" s="1" t="n">
        <x:v>3419</x:v>
      </x:c>
      <x:c r="D24" t="str">
        <x:v>disclosed</x:v>
      </x:c>
      <x:c r="E24" t="str">
        <x:v>trv_ar_2019</x:v>
      </x:c>
      <x:c r="F24" t="n">
        <x:v>145</x:v>
      </x:c>
      <x:c r="G24" t="str">
        <x:v>2020-02-13</x:v>
      </x:c>
      <x:c r="H24" t="str">
        <x:v>https://s26.q4cdn.com/410417801/files/doc_financials/annual/2019/TRV_2019_Annual_Report.pdf</x:v>
      </x:c>
      <x:c r="I24" t="str">
        <x:v>https://www.sec.gov/Archives/edgar/data/86312/000008631220000011/0000086312-20-000011-index.htm</x:v>
      </x:c>
      <x:c r="J24" t="str">
        <x:v>e0093d65a08001302da004d0efc202507906360fc9a05c2e4f935979a1383533</x:v>
      </x:c>
    </x:row>
    <x:row r="25">
      <x:c r="A25" t="n">
        <x:v>2019</x:v>
      </x:c>
      <x:c r="B25" t="str">
        <x:v>other_liabilities</x:v>
      </x:c>
      <x:c r="C25" s="1" t="n">
        <x:v>6049</x:v>
      </x:c>
      <x:c r="D25" t="str">
        <x:v>disclosed</x:v>
      </x:c>
      <x:c r="E25" t="str">
        <x:v>trv_ar_2019</x:v>
      </x:c>
      <x:c r="F25" t="n">
        <x:v>145</x:v>
      </x:c>
      <x:c r="G25" t="str">
        <x:v>2020-02-13</x:v>
      </x:c>
      <x:c r="H25" t="str">
        <x:v>https://s26.q4cdn.com/410417801/files/doc_financials/annual/2019/TRV_2019_Annual_Report.pdf</x:v>
      </x:c>
      <x:c r="I25" t="str">
        <x:v>https://www.sec.gov/Archives/edgar/data/86312/000008631220000011/0000086312-20-000011-index.htm</x:v>
      </x:c>
      <x:c r="J25" t="str">
        <x:v>e0093d65a08001302da004d0efc202507906360fc9a05c2e4f935979a1383533</x:v>
      </x:c>
    </x:row>
    <x:row r="26">
      <x:c r="A26" t="n">
        <x:v>2019</x:v>
      </x:c>
      <x:c r="B26" t="str">
        <x:v>premium_receivables</x:v>
      </x:c>
      <x:c r="C26" s="1" t="n">
        <x:v>7909</x:v>
      </x:c>
      <x:c r="D26" t="str">
        <x:v>disclosed</x:v>
      </x:c>
      <x:c r="E26" t="str">
        <x:v>trv_ar_2019</x:v>
      </x:c>
      <x:c r="F26" t="n">
        <x:v>145</x:v>
      </x:c>
      <x:c r="G26" t="str">
        <x:v>2020-02-13</x:v>
      </x:c>
      <x:c r="H26" t="str">
        <x:v>https://s26.q4cdn.com/410417801/files/doc_financials/annual/2019/TRV_2019_Annual_Report.pdf</x:v>
      </x:c>
      <x:c r="I26" t="str">
        <x:v>https://www.sec.gov/Archives/edgar/data/86312/000008631220000011/0000086312-20-000011-index.htm</x:v>
      </x:c>
      <x:c r="J26" t="str">
        <x:v>e0093d65a08001302da004d0efc202507906360fc9a05c2e4f935979a1383533</x:v>
      </x:c>
    </x:row>
    <x:row r="27">
      <x:c r="A27" t="n">
        <x:v>2019</x:v>
      </x:c>
      <x:c r="B27" t="str">
        <x:v>real_estate_investments</x:v>
      </x:c>
      <x:c r="C27" s="1" t="n">
        <x:v>963</x:v>
      </x:c>
      <x:c r="D27" t="str">
        <x:v>disclosed</x:v>
      </x:c>
      <x:c r="E27" t="str">
        <x:v>trv_ar_2019</x:v>
      </x:c>
      <x:c r="F27" t="n">
        <x:v>145</x:v>
      </x:c>
      <x:c r="G27" t="str">
        <x:v>2020-02-13</x:v>
      </x:c>
      <x:c r="H27" t="str">
        <x:v>https://s26.q4cdn.com/410417801/files/doc_financials/annual/2019/TRV_2019_Annual_Report.pdf</x:v>
      </x:c>
      <x:c r="I27" t="str">
        <x:v>https://www.sec.gov/Archives/edgar/data/86312/000008631220000011/0000086312-20-000011-index.htm</x:v>
      </x:c>
      <x:c r="J27" t="str">
        <x:v>e0093d65a08001302da004d0efc202507906360fc9a05c2e4f935979a1383533</x:v>
      </x:c>
    </x:row>
    <x:row r="28">
      <x:c r="A28" t="n">
        <x:v>2019</x:v>
      </x:c>
      <x:c r="B28" t="str">
        <x:v>reinsurance_premium_payables</x:v>
      </x:c>
      <x:c r="C28" s="1" t="n">
        <x:v>363</x:v>
      </x:c>
      <x:c r="D28" t="str">
        <x:v>disclosed</x:v>
      </x:c>
      <x:c r="E28" t="str">
        <x:v>trv_ar_2019</x:v>
      </x:c>
      <x:c r="F28" t="n">
        <x:v>145</x:v>
      </x:c>
      <x:c r="G28" t="str">
        <x:v>2020-02-13</x:v>
      </x:c>
      <x:c r="H28" t="str">
        <x:v>https://s26.q4cdn.com/410417801/files/doc_financials/annual/2019/TRV_2019_Annual_Report.pdf</x:v>
      </x:c>
      <x:c r="I28" t="str">
        <x:v>https://www.sec.gov/Archives/edgar/data/86312/000008631220000011/0000086312-20-000011-index.htm</x:v>
      </x:c>
      <x:c r="J28" t="str">
        <x:v>e0093d65a08001302da004d0efc202507906360fc9a05c2e4f935979a1383533</x:v>
      </x:c>
    </x:row>
    <x:row r="29">
      <x:c r="A29" t="n">
        <x:v>2019</x:v>
      </x:c>
      <x:c r="B29" t="str">
        <x:v>retained_earnings</x:v>
      </x:c>
      <x:c r="C29" s="1" t="n">
        <x:v>36977</x:v>
      </x:c>
      <x:c r="D29" t="str">
        <x:v>disclosed</x:v>
      </x:c>
      <x:c r="E29" t="str">
        <x:v>trv_ar_2019</x:v>
      </x:c>
      <x:c r="F29" t="n">
        <x:v>145</x:v>
      </x:c>
      <x:c r="G29" t="str">
        <x:v>2020-02-13</x:v>
      </x:c>
      <x:c r="H29" t="str">
        <x:v>https://s26.q4cdn.com/410417801/files/doc_financials/annual/2019/TRV_2019_Annual_Report.pdf</x:v>
      </x:c>
      <x:c r="I29" t="str">
        <x:v>https://www.sec.gov/Archives/edgar/data/86312/000008631220000011/0000086312-20-000011-index.htm</x:v>
      </x:c>
      <x:c r="J29" t="str">
        <x:v>e0093d65a08001302da004d0efc202507906360fc9a05c2e4f935979a1383533</x:v>
      </x:c>
    </x:row>
    <x:row r="30">
      <x:c r="A30" t="n">
        <x:v>2019</x:v>
      </x:c>
      <x:c r="B30" t="str">
        <x:v>short_term_investments</x:v>
      </x:c>
      <x:c r="C30" s="1" t="n">
        <x:v>4943</x:v>
      </x:c>
      <x:c r="D30" t="str">
        <x:v>disclosed</x:v>
      </x:c>
      <x:c r="E30" t="str">
        <x:v>trv_ar_2019</x:v>
      </x:c>
      <x:c r="F30" t="n">
        <x:v>145</x:v>
      </x:c>
      <x:c r="G30" t="str">
        <x:v>2020-02-13</x:v>
      </x:c>
      <x:c r="H30" t="str">
        <x:v>https://s26.q4cdn.com/410417801/files/doc_financials/annual/2019/TRV_2019_Annual_Report.pdf</x:v>
      </x:c>
      <x:c r="I30" t="str">
        <x:v>https://www.sec.gov/Archives/edgar/data/86312/000008631220000011/0000086312-20-000011-index.htm</x:v>
      </x:c>
      <x:c r="J30" t="str">
        <x:v>e0093d65a08001302da004d0efc202507906360fc9a05c2e4f935979a1383533</x:v>
      </x:c>
    </x:row>
    <x:row r="31">
      <x:c r="A31" t="n">
        <x:v>2019</x:v>
      </x:c>
      <x:c r="B31" t="str">
        <x:v>total_assets</x:v>
      </x:c>
      <x:c r="C31" s="1" t="n">
        <x:v>110122</x:v>
      </x:c>
      <x:c r="D31" t="str">
        <x:v>disclosed</x:v>
      </x:c>
      <x:c r="E31" t="str">
        <x:v>trv_ar_2019</x:v>
      </x:c>
      <x:c r="F31" t="n">
        <x:v>145</x:v>
      </x:c>
      <x:c r="G31" t="str">
        <x:v>2020-02-13</x:v>
      </x:c>
      <x:c r="H31" t="str">
        <x:v>https://s26.q4cdn.com/410417801/files/doc_financials/annual/2019/TRV_2019_Annual_Report.pdf</x:v>
      </x:c>
      <x:c r="I31" t="str">
        <x:v>https://www.sec.gov/Archives/edgar/data/86312/000008631220000011/0000086312-20-000011-index.htm</x:v>
      </x:c>
      <x:c r="J31" t="str">
        <x:v>e0093d65a08001302da004d0efc202507906360fc9a05c2e4f935979a1383533</x:v>
      </x:c>
    </x:row>
    <x:row r="32">
      <x:c r="A32" t="n">
        <x:v>2019</x:v>
      </x:c>
      <x:c r="B32" t="str">
        <x:v>total_investments</x:v>
      </x:c>
      <x:c r="C32" s="1" t="n">
        <x:v>77884</x:v>
      </x:c>
      <x:c r="D32" t="str">
        <x:v>disclosed</x:v>
      </x:c>
      <x:c r="E32" t="str">
        <x:v>trv_ar_2019</x:v>
      </x:c>
      <x:c r="F32" t="n">
        <x:v>145</x:v>
      </x:c>
      <x:c r="G32" t="str">
        <x:v>2020-02-13</x:v>
      </x:c>
      <x:c r="H32" t="str">
        <x:v>https://s26.q4cdn.com/410417801/files/doc_financials/annual/2019/TRV_2019_Annual_Report.pdf</x:v>
      </x:c>
      <x:c r="I32" t="str">
        <x:v>https://www.sec.gov/Archives/edgar/data/86312/000008631220000011/0000086312-20-000011-index.htm</x:v>
      </x:c>
      <x:c r="J32" t="str">
        <x:v>e0093d65a08001302da004d0efc202507906360fc9a05c2e4f935979a1383533</x:v>
      </x:c>
    </x:row>
    <x:row r="33">
      <x:c r="A33" t="n">
        <x:v>2019</x:v>
      </x:c>
      <x:c r="B33" t="str">
        <x:v>total_liabilities</x:v>
      </x:c>
      <x:c r="C33" s="1" t="n">
        <x:v>84179</x:v>
      </x:c>
      <x:c r="D33" t="str">
        <x:v>disclosed</x:v>
      </x:c>
      <x:c r="E33" t="str">
        <x:v>trv_ar_2019</x:v>
      </x:c>
      <x:c r="F33" t="n">
        <x:v>145</x:v>
      </x:c>
      <x:c r="G33" t="str">
        <x:v>2020-02-13</x:v>
      </x:c>
      <x:c r="H33" t="str">
        <x:v>https://s26.q4cdn.com/410417801/files/doc_financials/annual/2019/TRV_2019_Annual_Report.pdf</x:v>
      </x:c>
      <x:c r="I33" t="str">
        <x:v>https://www.sec.gov/Archives/edgar/data/86312/000008631220000011/0000086312-20-000011-index.htm</x:v>
      </x:c>
      <x:c r="J33" t="str">
        <x:v>e0093d65a08001302da004d0efc202507906360fc9a05c2e4f935979a1383533</x:v>
      </x:c>
    </x:row>
    <x:row r="34">
      <x:c r="A34" t="n">
        <x:v>2019</x:v>
      </x:c>
      <x:c r="B34" t="str">
        <x:v>total_recoverables</x:v>
      </x:c>
      <x:c r="C34" s="1" t="n">
        <x:v>8235</x:v>
      </x:c>
      <x:c r="D34" t="str">
        <x:v>disclosed</x:v>
      </x:c>
      <x:c r="E34" t="str">
        <x:v>trv_ar_2019</x:v>
      </x:c>
      <x:c r="F34" t="n">
        <x:v>145</x:v>
      </x:c>
      <x:c r="G34" t="str">
        <x:v>2020-02-13</x:v>
      </x:c>
      <x:c r="H34" t="str">
        <x:v>https://s26.q4cdn.com/410417801/files/doc_financials/annual/2019/TRV_2019_Annual_Report.pdf</x:v>
      </x:c>
      <x:c r="I34" t="str">
        <x:v>https://www.sec.gov/Archives/edgar/data/86312/000008631220000011/0000086312-20-000011-index.htm</x:v>
      </x:c>
      <x:c r="J34" t="str">
        <x:v>e0093d65a08001302da004d0efc202507906360fc9a05c2e4f935979a1383533</x:v>
      </x:c>
    </x:row>
    <x:row r="35">
      <x:c r="A35" t="n">
        <x:v>2019</x:v>
      </x:c>
      <x:c r="B35" t="str">
        <x:v>treasury_stock</x:v>
      </x:c>
      <x:c r="C35" s="1" t="n">
        <x:v>-35143</x:v>
      </x:c>
      <x:c r="D35" t="str">
        <x:v>disclosed</x:v>
      </x:c>
      <x:c r="E35" t="str">
        <x:v>trv_ar_2019</x:v>
      </x:c>
      <x:c r="F35" t="n">
        <x:v>145</x:v>
      </x:c>
      <x:c r="G35" t="str">
        <x:v>2020-02-13</x:v>
      </x:c>
      <x:c r="H35" t="str">
        <x:v>https://s26.q4cdn.com/410417801/files/doc_financials/annual/2019/TRV_2019_Annual_Report.pdf</x:v>
      </x:c>
      <x:c r="I35" t="str">
        <x:v>https://www.sec.gov/Archives/edgar/data/86312/000008631220000011/0000086312-20-000011-index.htm</x:v>
      </x:c>
      <x:c r="J35" t="str">
        <x:v>e0093d65a08001302da004d0efc202507906360fc9a05c2e4f935979a1383533</x:v>
      </x:c>
    </x:row>
    <x:row r="36">
      <x:c r="A36" t="n">
        <x:v>2019</x:v>
      </x:c>
      <x:c r="B36" t="str">
        <x:v>unpaid_recoverables</x:v>
      </x:c>
      <x:c r="C36" s="1" t="n">
        <x:v>8035</x:v>
      </x:c>
      <x:c r="D36" t="str">
        <x:v>disclosed</x:v>
      </x:c>
      <x:c r="E36" t="str">
        <x:v>trv_ar_2019</x:v>
      </x:c>
      <x:c r="F36" t="n">
        <x:v>180</x:v>
      </x:c>
      <x:c r="G36" t="str">
        <x:v>2020-02-13</x:v>
      </x:c>
      <x:c r="H36" t="str">
        <x:v>https://s26.q4cdn.com/410417801/files/doc_financials/annual/2019/TRV_2019_Annual_Report.pdf</x:v>
      </x:c>
      <x:c r="I36" t="str">
        <x:v>https://www.sec.gov/Archives/edgar/data/86312/000008631220000011/0000086312-20-000011-index.htm</x:v>
      </x:c>
      <x:c r="J36" t="str">
        <x:v>e0093d65a08001302da004d0efc202507906360fc9a05c2e4f935979a1383533</x:v>
      </x:c>
    </x:row>
    <x:row r="37">
      <x:c r="A37" t="n">
        <x:v>2020</x:v>
      </x:c>
      <x:c r="B37" t="str">
        <x:v>accrued_investment_income</x:v>
      </x:c>
      <x:c r="C37" s="1" t="n">
        <x:v>603</x:v>
      </x:c>
      <x:c r="D37" t="str">
        <x:v>disclosed</x:v>
      </x:c>
      <x:c r="E37" t="str">
        <x:v>trv_ar_2021</x:v>
      </x:c>
      <x:c r="F37" t="n">
        <x:v>146</x:v>
      </x:c>
      <x:c r="G37" t="str">
        <x:v>2022-02-17</x:v>
      </x:c>
      <x:c r="H37" t="str">
        <x:v>https://s26.q4cdn.com/410417801/files/doc_financials/2021/ar/Travelers-2021-Annual-Report.pdf</x:v>
      </x:c>
      <x:c r="I37" t="str">
        <x:v>https://www.sec.gov/Archives/edgar/data/86312/000008631222000013/0000086312-22-000013-index.htm</x:v>
      </x:c>
      <x:c r="J37" t="str">
        <x:v>3e42291a1ec9a7e2d27596f4d839cf36f538eeec1d16b3dbf718001c3471c92c</x:v>
      </x:c>
    </x:row>
    <x:row r="38">
      <x:c r="A38" t="n">
        <x:v>2020</x:v>
      </x:c>
      <x:c r="B38" t="str">
        <x:v>adoption_change</x:v>
      </x:c>
      <x:c r="C38" s="1" t="n">
        <x:v>53</x:v>
      </x:c>
      <x:c r="D38" t="str">
        <x:v>disclosed</x:v>
      </x:c>
      <x:c r="E38" t="str">
        <x:v>trv_ar_2021</x:v>
      </x:c>
      <x:c r="F38" t="n">
        <x:v>182</x:v>
      </x:c>
      <x:c r="G38" t="str">
        <x:v>2022-02-17</x:v>
      </x:c>
      <x:c r="H38" t="str">
        <x:v>https://s26.q4cdn.com/410417801/files/doc_financials/2021/ar/Travelers-2021-Annual-Report.pdf</x:v>
      </x:c>
      <x:c r="I38" t="str">
        <x:v>https://www.sec.gov/Archives/edgar/data/86312/000008631222000013/0000086312-22-000013-index.htm</x:v>
      </x:c>
      <x:c r="J38" t="str">
        <x:v>3e42291a1ec9a7e2d27596f4d839cf36f538eeec1d16b3dbf718001c3471c92c</x:v>
      </x:c>
    </x:row>
    <x:row r="39">
      <x:c r="A39" t="n">
        <x:v>2020</x:v>
      </x:c>
      <x:c r="B39" t="str">
        <x:v>adoption_equity</x:v>
      </x:c>
      <x:c r="C39" s="1" t="n">
        <x:v>-43</x:v>
      </x:c>
      <x:c r="D39" t="str">
        <x:v>disclosed</x:v>
      </x:c>
      <x:c r="E39" t="str">
        <x:v>trv_ar_2022</x:v>
      </x:c>
      <x:c r="F39" t="n">
        <x:v>148</x:v>
      </x:c>
      <x:c r="G39" t="str">
        <x:v>2023-02-16</x:v>
      </x:c>
      <x:c r="H39" t="str">
        <x:v>https://s26.q4cdn.com/410417801/files/doc_financials/2022/ar/B/Travelers-2022-Annual-Report-pdf.pdf</x:v>
      </x:c>
      <x:c r="I39" t="str">
        <x:v>https://www.sec.gov/Archives/edgar/data/86312/000008631223000011/0000086312-23-000011-index.htm</x:v>
      </x:c>
      <x:c r="J39" t="str">
        <x:v>294fc17bdf196969c710ce679ef9470ca87e3d059b50f898fe487e5c68dd107d</x:v>
      </x:c>
    </x:row>
    <x:row r="40">
      <x:c r="A40" t="n">
        <x:v>2020</x:v>
      </x:c>
      <x:c r="B40" t="str">
        <x:v>aoci</x:v>
      </x:c>
      <x:c r="C40" s="1" t="n">
        <x:v>2502</x:v>
      </x:c>
      <x:c r="D40" t="str">
        <x:v>disclosed</x:v>
      </x:c>
      <x:c r="E40" t="str">
        <x:v>trv_ar_2021</x:v>
      </x:c>
      <x:c r="F40" t="n">
        <x:v>146</x:v>
      </x:c>
      <x:c r="G40" t="str">
        <x:v>2022-02-17</x:v>
      </x:c>
      <x:c r="H40" t="str">
        <x:v>https://s26.q4cdn.com/410417801/files/doc_financials/2021/ar/Travelers-2021-Annual-Report.pdf</x:v>
      </x:c>
      <x:c r="I40" t="str">
        <x:v>https://www.sec.gov/Archives/edgar/data/86312/000008631222000013/0000086312-22-000013-index.htm</x:v>
      </x:c>
      <x:c r="J40" t="str">
        <x:v>3e42291a1ec9a7e2d27596f4d839cf36f538eeec1d16b3dbf718001c3471c92c</x:v>
      </x:c>
    </x:row>
    <x:row r="41">
      <x:c r="A41" t="n">
        <x:v>2020</x:v>
      </x:c>
      <x:c r="B41" t="str">
        <x:v>assumed_earned</x:v>
      </x:c>
      <x:c r="C41" s="1" t="n">
        <x:v>1010</x:v>
      </x:c>
      <x:c r="D41" t="str">
        <x:v>disclosed</x:v>
      </x:c>
      <x:c r="E41" t="str">
        <x:v>trv_ar_2022</x:v>
      </x:c>
      <x:c r="F41" t="n">
        <x:v>179</x:v>
      </x:c>
      <x:c r="G41" t="str">
        <x:v>2023-02-16</x:v>
      </x:c>
      <x:c r="H41" t="str">
        <x:v>https://s26.q4cdn.com/410417801/files/doc_financials/2022/ar/B/Travelers-2022-Annual-Report-pdf.pdf</x:v>
      </x:c>
      <x:c r="I41" t="str">
        <x:v>https://www.sec.gov/Archives/edgar/data/86312/000008631223000011/0000086312-23-000011-index.htm</x:v>
      </x:c>
      <x:c r="J41" t="str">
        <x:v>294fc17bdf196969c710ce679ef9470ca87e3d059b50f898fe487e5c68dd107d</x:v>
      </x:c>
    </x:row>
    <x:row r="42">
      <x:c r="A42" t="n">
        <x:v>2020</x:v>
      </x:c>
      <x:c r="B42" t="str">
        <x:v>assumed_written</x:v>
      </x:c>
      <x:c r="C42" s="1" t="n">
        <x:v>1001</x:v>
      </x:c>
      <x:c r="D42" t="str">
        <x:v>disclosed</x:v>
      </x:c>
      <x:c r="E42" t="str">
        <x:v>trv_ar_2022</x:v>
      </x:c>
      <x:c r="F42" t="n">
        <x:v>179</x:v>
      </x:c>
      <x:c r="G42" t="str">
        <x:v>2023-02-16</x:v>
      </x:c>
      <x:c r="H42" t="str">
        <x:v>https://s26.q4cdn.com/410417801/files/doc_financials/2022/ar/B/Travelers-2022-Annual-Report-pdf.pdf</x:v>
      </x:c>
      <x:c r="I42" t="str">
        <x:v>https://www.sec.gov/Archives/edgar/data/86312/000008631223000011/0000086312-23-000011-index.htm</x:v>
      </x:c>
      <x:c r="J42" t="str">
        <x:v>294fc17bdf196969c710ce679ef9470ca87e3d059b50f898fe487e5c68dd107d</x:v>
      </x:c>
    </x:row>
    <x:row r="43">
      <x:c r="A43" t="n">
        <x:v>2020</x:v>
      </x:c>
      <x:c r="B43" t="str">
        <x:v>balance_sheet_claim_reserves</x:v>
      </x:c>
      <x:c r="C43" s="1" t="n">
        <x:v>54521</x:v>
      </x:c>
      <x:c r="D43" t="str">
        <x:v>disclosed</x:v>
      </x:c>
      <x:c r="E43" t="str">
        <x:v>trv_ar_2021</x:v>
      </x:c>
      <x:c r="F43" t="n">
        <x:v>146</x:v>
      </x:c>
      <x:c r="G43" t="str">
        <x:v>2022-02-17</x:v>
      </x:c>
      <x:c r="H43" t="str">
        <x:v>https://s26.q4cdn.com/410417801/files/doc_financials/2021/ar/Travelers-2021-Annual-Report.pdf</x:v>
      </x:c>
      <x:c r="I43" t="str">
        <x:v>https://www.sec.gov/Archives/edgar/data/86312/000008631222000013/0000086312-22-000013-index.htm</x:v>
      </x:c>
      <x:c r="J43" t="str">
        <x:v>3e42291a1ec9a7e2d27596f4d839cf36f538eeec1d16b3dbf718001c3471c92c</x:v>
      </x:c>
    </x:row>
    <x:row r="44">
      <x:c r="A44" t="n">
        <x:v>2020</x:v>
      </x:c>
      <x:c r="B44" t="str">
        <x:v>cash</x:v>
      </x:c>
      <x:c r="C44" s="1" t="n">
        <x:v>721</x:v>
      </x:c>
      <x:c r="D44" t="str">
        <x:v>disclosed</x:v>
      </x:c>
      <x:c r="E44" t="str">
        <x:v>trv_ar_2021</x:v>
      </x:c>
      <x:c r="F44" t="n">
        <x:v>146</x:v>
      </x:c>
      <x:c r="G44" t="str">
        <x:v>2022-02-17</x:v>
      </x:c>
      <x:c r="H44" t="str">
        <x:v>https://s26.q4cdn.com/410417801/files/doc_financials/2021/ar/Travelers-2021-Annual-Report.pdf</x:v>
      </x:c>
      <x:c r="I44" t="str">
        <x:v>https://www.sec.gov/Archives/edgar/data/86312/000008631222000013/0000086312-22-000013-index.htm</x:v>
      </x:c>
      <x:c r="J44" t="str">
        <x:v>3e42291a1ec9a7e2d27596f4d839cf36f538eeec1d16b3dbf718001c3471c92c</x:v>
      </x:c>
    </x:row>
    <x:row r="45">
      <x:c r="A45" t="n">
        <x:v>2020</x:v>
      </x:c>
      <x:c r="B45" t="str">
        <x:v>cash_change_before_reclassification</x:v>
      </x:c>
      <x:c r="C45" s="1" t="n">
        <x:v>227</x:v>
      </x:c>
      <x:c r="D45" t="str">
        <x:v>disclosed</x:v>
      </x:c>
      <x:c r="E45" t="str">
        <x:v>trv_ar_2022</x:v>
      </x:c>
      <x:c r="F45" t="n">
        <x:v>149</x:v>
      </x:c>
      <x:c r="G45" t="str">
        <x:v>2023-02-16</x:v>
      </x:c>
      <x:c r="H45" t="str">
        <x:v>https://s26.q4cdn.com/410417801/files/doc_financials/2022/ar/B/Travelers-2022-Annual-Report-pdf.pdf</x:v>
      </x:c>
      <x:c r="I45" t="str">
        <x:v>https://www.sec.gov/Archives/edgar/data/86312/000008631223000011/0000086312-23-000011-index.htm</x:v>
      </x:c>
      <x:c r="J45" t="str">
        <x:v>294fc17bdf196969c710ce679ef9470ca87e3d059b50f898fe487e5c68dd107d</x:v>
      </x:c>
    </x:row>
    <x:row r="46">
      <x:c r="A46" t="n">
        <x:v>2020</x:v>
      </x:c>
      <x:c r="B46" t="str">
        <x:v>cash_flow_closing</x:v>
      </x:c>
      <x:c r="C46" s="1" t="n">
        <x:v>721</x:v>
      </x:c>
      <x:c r="D46" t="str">
        <x:v>disclosed</x:v>
      </x:c>
      <x:c r="E46" t="str">
        <x:v>trv_ar_2022</x:v>
      </x:c>
      <x:c r="F46" t="n">
        <x:v>149</x:v>
      </x:c>
      <x:c r="G46" t="str">
        <x:v>2023-02-16</x:v>
      </x:c>
      <x:c r="H46" t="str">
        <x:v>https://s26.q4cdn.com/410417801/files/doc_financials/2022/ar/B/Travelers-2022-Annual-Report-pdf.pdf</x:v>
      </x:c>
      <x:c r="I46" t="str">
        <x:v>https://www.sec.gov/Archives/edgar/data/86312/000008631223000011/0000086312-23-000011-index.htm</x:v>
      </x:c>
      <x:c r="J46" t="str">
        <x:v>294fc17bdf196969c710ce679ef9470ca87e3d059b50f898fe487e5c68dd107d</x:v>
      </x:c>
    </x:row>
    <x:row r="47">
      <x:c r="A47" t="n">
        <x:v>2020</x:v>
      </x:c>
      <x:c r="B47" t="str">
        <x:v>cash_flow_net_income</x:v>
      </x:c>
      <x:c r="C47" s="1" t="n">
        <x:v>2697</x:v>
      </x:c>
      <x:c r="D47" t="str">
        <x:v>disclosed</x:v>
      </x:c>
      <x:c r="E47" t="str">
        <x:v>trv_ar_2022</x:v>
      </x:c>
      <x:c r="F47" t="n">
        <x:v>149</x:v>
      </x:c>
      <x:c r="G47" t="str">
        <x:v>2023-02-16</x:v>
      </x:c>
      <x:c r="H47" t="str">
        <x:v>https://s26.q4cdn.com/410417801/files/doc_financials/2022/ar/B/Travelers-2022-Annual-Report-pdf.pdf</x:v>
      </x:c>
      <x:c r="I47" t="str">
        <x:v>https://www.sec.gov/Archives/edgar/data/86312/000008631223000011/0000086312-23-000011-index.htm</x:v>
      </x:c>
      <x:c r="J47" t="str">
        <x:v>294fc17bdf196969c710ce679ef9470ca87e3d059b50f898fe487e5c68dd107d</x:v>
      </x:c>
    </x:row>
    <x:row r="48">
      <x:c r="A48" t="n">
        <x:v>2020</x:v>
      </x:c>
      <x:c r="B48" t="str">
        <x:v>cash_flow_opening</x:v>
      </x:c>
      <x:c r="C48" s="1" t="n">
        <x:v>494</x:v>
      </x:c>
      <x:c r="D48" t="str">
        <x:v>disclosed</x:v>
      </x:c>
      <x:c r="E48" t="str">
        <x:v>trv_ar_2022</x:v>
      </x:c>
      <x:c r="F48" t="n">
        <x:v>149</x:v>
      </x:c>
      <x:c r="G48" t="str">
        <x:v>2023-02-16</x:v>
      </x:c>
      <x:c r="H48" t="str">
        <x:v>https://s26.q4cdn.com/410417801/files/doc_financials/2022/ar/B/Travelers-2022-Annual-Report-pdf.pdf</x:v>
      </x:c>
      <x:c r="I48" t="str">
        <x:v>https://www.sec.gov/Archives/edgar/data/86312/000008631223000011/0000086312-23-000011-index.htm</x:v>
      </x:c>
      <x:c r="J48" t="str">
        <x:v>294fc17bdf196969c710ce679ef9470ca87e3d059b50f898fe487e5c68dd107d</x:v>
      </x:c>
    </x:row>
    <x:row r="49">
      <x:c r="A49" t="n">
        <x:v>2020</x:v>
      </x:c>
      <x:c r="B49" t="str">
        <x:v>cash_fx</x:v>
      </x:c>
      <x:c r="C49" s="1" t="n">
        <x:v>16</x:v>
      </x:c>
      <x:c r="D49" t="str">
        <x:v>disclosed</x:v>
      </x:c>
      <x:c r="E49" t="str">
        <x:v>trv_ar_2022</x:v>
      </x:c>
      <x:c r="F49" t="n">
        <x:v>149</x:v>
      </x:c>
      <x:c r="G49" t="str">
        <x:v>2023-02-16</x:v>
      </x:c>
      <x:c r="H49" t="str">
        <x:v>https://s26.q4cdn.com/410417801/files/doc_financials/2022/ar/B/Travelers-2022-Annual-Report-pdf.pdf</x:v>
      </x:c>
      <x:c r="I49" t="str">
        <x:v>https://www.sec.gov/Archives/edgar/data/86312/000008631223000011/0000086312-23-000011-index.htm</x:v>
      </x:c>
      <x:c r="J49" t="str">
        <x:v>294fc17bdf196969c710ce679ef9470ca87e3d059b50f898fe487e5c68dd107d</x:v>
      </x:c>
    </x:row>
    <x:row r="50">
      <x:c r="A50" t="n">
        <x:v>2020</x:v>
      </x:c>
      <x:c r="B50" t="str">
        <x:v>cash_tax</x:v>
      </x:c>
      <x:c r="C50" s="1" t="n">
        <x:v>578</x:v>
      </x:c>
      <x:c r="D50" t="str">
        <x:v>disclosed</x:v>
      </x:c>
      <x:c r="E50" t="str">
        <x:v>trv_ar_2022</x:v>
      </x:c>
      <x:c r="F50" t="n">
        <x:v>149</x:v>
      </x:c>
      <x:c r="G50" t="str">
        <x:v>2023-02-16</x:v>
      </x:c>
      <x:c r="H50" t="str">
        <x:v>https://s26.q4cdn.com/410417801/files/doc_financials/2022/ar/B/Travelers-2022-Annual-Report-pdf.pdf</x:v>
      </x:c>
      <x:c r="I50" t="str">
        <x:v>https://www.sec.gov/Archives/edgar/data/86312/000008631223000011/0000086312-23-000011-index.htm</x:v>
      </x:c>
      <x:c r="J50" t="str">
        <x:v>294fc17bdf196969c710ce679ef9470ca87e3d059b50f898fe487e5c68dd107d</x:v>
      </x:c>
    </x:row>
    <x:row r="51">
      <x:c r="A51" t="n">
        <x:v>2020</x:v>
      </x:c>
      <x:c r="B51" t="str">
        <x:v>ceded_earned</x:v>
      </x:c>
      <x:c r="C51" s="1" t="n">
        <x:v>1944</x:v>
      </x:c>
      <x:c r="D51" t="str">
        <x:v>disclosed</x:v>
      </x:c>
      <x:c r="E51" t="str">
        <x:v>trv_ar_2022</x:v>
      </x:c>
      <x:c r="F51" t="n">
        <x:v>179</x:v>
      </x:c>
      <x:c r="G51" t="str">
        <x:v>2023-02-16</x:v>
      </x:c>
      <x:c r="H51" t="str">
        <x:v>https://s26.q4cdn.com/410417801/files/doc_financials/2022/ar/B/Travelers-2022-Annual-Report-pdf.pdf</x:v>
      </x:c>
      <x:c r="I51" t="str">
        <x:v>https://www.sec.gov/Archives/edgar/data/86312/000008631223000011/0000086312-23-000011-index.htm</x:v>
      </x:c>
      <x:c r="J51" t="str">
        <x:v>294fc17bdf196969c710ce679ef9470ca87e3d059b50f898fe487e5c68dd107d</x:v>
      </x:c>
    </x:row>
    <x:row r="52">
      <x:c r="A52" t="n">
        <x:v>2020</x:v>
      </x:c>
      <x:c r="B52" t="str">
        <x:v>ceded_upr</x:v>
      </x:c>
      <x:c r="C52" s="1" t="n">
        <x:v>772</x:v>
      </x:c>
      <x:c r="D52" t="str">
        <x:v>disclosed</x:v>
      </x:c>
      <x:c r="E52" t="str">
        <x:v>trv_ar_2020</x:v>
      </x:c>
      <x:c r="F52" t="n">
        <x:v>148</x:v>
      </x:c>
      <x:c r="G52" t="str">
        <x:v>2021-02-11</x:v>
      </x:c>
      <x:c r="H52" t="str">
        <x:v>https://s26.q4cdn.com/410417801/files/doc_financials/2020/ar/Travelers-2020-Annual-Report.pdf</x:v>
      </x:c>
      <x:c r="I52" t="str">
        <x:v>https://www.sec.gov/Archives/edgar/data/86312/000008631221000011/0000086312-21-000011-index.htm</x:v>
      </x:c>
      <x:c r="J52" t="str">
        <x:v>b0f912a2cacdacdaf296ae6888a862202aac27a8ad30009896d0de4b42358a88</x:v>
      </x:c>
    </x:row>
    <x:row r="53">
      <x:c r="A53" t="n">
        <x:v>2020</x:v>
      </x:c>
      <x:c r="B53" t="str">
        <x:v>ceded_written</x:v>
      </x:c>
      <x:c r="C53" s="1" t="n">
        <x:v>2031</x:v>
      </x:c>
      <x:c r="D53" t="str">
        <x:v>disclosed</x:v>
      </x:c>
      <x:c r="E53" t="str">
        <x:v>trv_ar_2022</x:v>
      </x:c>
      <x:c r="F53" t="n">
        <x:v>179</x:v>
      </x:c>
      <x:c r="G53" t="str">
        <x:v>2023-02-16</x:v>
      </x:c>
      <x:c r="H53" t="str">
        <x:v>https://s26.q4cdn.com/410417801/files/doc_financials/2022/ar/B/Travelers-2022-Annual-Report-pdf.pdf</x:v>
      </x:c>
      <x:c r="I53" t="str">
        <x:v>https://www.sec.gov/Archives/edgar/data/86312/000008631223000011/0000086312-23-000011-index.htm</x:v>
      </x:c>
      <x:c r="J53" t="str">
        <x:v>294fc17bdf196969c710ce679ef9470ca87e3d059b50f898fe487e5c68dd107d</x:v>
      </x:c>
    </x:row>
    <x:row r="54">
      <x:c r="A54" t="n">
        <x:v>2020</x:v>
      </x:c>
      <x:c r="B54" t="str">
        <x:v>cff</x:v>
      </x:c>
      <x:c r="C54" s="1" t="n">
        <x:v>-1416</x:v>
      </x:c>
      <x:c r="D54" t="str">
        <x:v>disclosed</x:v>
      </x:c>
      <x:c r="E54" t="str">
        <x:v>trv_ar_2022</x:v>
      </x:c>
      <x:c r="F54" t="n">
        <x:v>149</x:v>
      </x:c>
      <x:c r="G54" t="str">
        <x:v>2023-02-16</x:v>
      </x:c>
      <x:c r="H54" t="str">
        <x:v>https://s26.q4cdn.com/410417801/files/doc_financials/2022/ar/B/Travelers-2022-Annual-Report-pdf.pdf</x:v>
      </x:c>
      <x:c r="I54" t="str">
        <x:v>https://www.sec.gov/Archives/edgar/data/86312/000008631223000011/0000086312-23-000011-index.htm</x:v>
      </x:c>
      <x:c r="J54" t="str">
        <x:v>294fc17bdf196969c710ce679ef9470ca87e3d059b50f898fe487e5c68dd107d</x:v>
      </x:c>
    </x:row>
    <x:row r="55">
      <x:c r="A55" t="n">
        <x:v>2020</x:v>
      </x:c>
      <x:c r="B55" t="str">
        <x:v>cfi</x:v>
      </x:c>
      <x:c r="C55" s="1" t="n">
        <x:v>-4892</x:v>
      </x:c>
      <x:c r="D55" t="str">
        <x:v>disclosed</x:v>
      </x:c>
      <x:c r="E55" t="str">
        <x:v>trv_ar_2022</x:v>
      </x:c>
      <x:c r="F55" t="n">
        <x:v>149</x:v>
      </x:c>
      <x:c r="G55" t="str">
        <x:v>2023-02-16</x:v>
      </x:c>
      <x:c r="H55" t="str">
        <x:v>https://s26.q4cdn.com/410417801/files/doc_financials/2022/ar/B/Travelers-2022-Annual-Report-pdf.pdf</x:v>
      </x:c>
      <x:c r="I55" t="str">
        <x:v>https://www.sec.gov/Archives/edgar/data/86312/000008631223000011/0000086312-23-000011-index.htm</x:v>
      </x:c>
      <x:c r="J55" t="str">
        <x:v>294fc17bdf196969c710ce679ef9470ca87e3d059b50f898fe487e5c68dd107d</x:v>
      </x:c>
    </x:row>
    <x:row r="56">
      <x:c r="A56" t="n">
        <x:v>2020</x:v>
      </x:c>
      <x:c r="B56" t="str">
        <x:v>cfo</x:v>
      </x:c>
      <x:c r="C56" s="1" t="n">
        <x:v>6519</x:v>
      </x:c>
      <x:c r="D56" t="str">
        <x:v>disclosed</x:v>
      </x:c>
      <x:c r="E56" t="str">
        <x:v>trv_ar_2022</x:v>
      </x:c>
      <x:c r="F56" t="n">
        <x:v>149</x:v>
      </x:c>
      <x:c r="G56" t="str">
        <x:v>2023-02-16</x:v>
      </x:c>
      <x:c r="H56" t="str">
        <x:v>https://s26.q4cdn.com/410417801/files/doc_financials/2022/ar/B/Travelers-2022-Annual-Report-pdf.pdf</x:v>
      </x:c>
      <x:c r="I56" t="str">
        <x:v>https://www.sec.gov/Archives/edgar/data/86312/000008631223000011/0000086312-23-000011-index.htm</x:v>
      </x:c>
      <x:c r="J56" t="str">
        <x:v>294fc17bdf196969c710ce679ef9470ca87e3d059b50f898fe487e5c68dd107d</x:v>
      </x:c>
    </x:row>
    <x:row r="57">
      <x:c r="A57" t="n">
        <x:v>2020</x:v>
      </x:c>
      <x:c r="B57" t="str">
        <x:v>claims</x:v>
      </x:c>
      <x:c r="C57" s="1" t="n">
        <x:v>19123</x:v>
      </x:c>
      <x:c r="D57" t="str">
        <x:v>disclosed</x:v>
      </x:c>
      <x:c r="E57" t="str">
        <x:v>trv_ar_2022</x:v>
      </x:c>
      <x:c r="F57" t="n">
        <x:v>145</x:v>
      </x:c>
      <x:c r="G57" t="str">
        <x:v>2023-02-16</x:v>
      </x:c>
      <x:c r="H57" t="str">
        <x:v>https://s26.q4cdn.com/410417801/files/doc_financials/2022/ar/B/Travelers-2022-Annual-Report-pdf.pdf</x:v>
      </x:c>
      <x:c r="I57" t="str">
        <x:v>https://www.sec.gov/Archives/edgar/data/86312/000008631223000011/0000086312-23-000011-index.htm</x:v>
      </x:c>
      <x:c r="J57" t="str">
        <x:v>294fc17bdf196969c710ce679ef9470ca87e3d059b50f898fe487e5c68dd107d</x:v>
      </x:c>
    </x:row>
    <x:row r="58">
      <x:c r="A58" t="n">
        <x:v>2020</x:v>
      </x:c>
      <x:c r="B58" t="str">
        <x:v>closing_aoci</x:v>
      </x:c>
      <x:c r="C58" s="1" t="n">
        <x:v>2502</x:v>
      </x:c>
      <x:c r="D58" t="str">
        <x:v>disclosed</x:v>
      </x:c>
      <x:c r="E58" t="str">
        <x:v>trv_ar_2022</x:v>
      </x:c>
      <x:c r="F58" t="n">
        <x:v>148</x:v>
      </x:c>
      <x:c r="G58" t="str">
        <x:v>2023-02-16</x:v>
      </x:c>
      <x:c r="H58" t="str">
        <x:v>https://s26.q4cdn.com/410417801/files/doc_financials/2022/ar/B/Travelers-2022-Annual-Report-pdf.pdf</x:v>
      </x:c>
      <x:c r="I58" t="str">
        <x:v>https://www.sec.gov/Archives/edgar/data/86312/000008631223000011/0000086312-23-000011-index.htm</x:v>
      </x:c>
      <x:c r="J58" t="str">
        <x:v>294fc17bdf196969c710ce679ef9470ca87e3d059b50f898fe487e5c68dd107d</x:v>
      </x:c>
    </x:row>
    <x:row r="59">
      <x:c r="A59" t="n">
        <x:v>2020</x:v>
      </x:c>
      <x:c r="B59" t="str">
        <x:v>closing_equity</x:v>
      </x:c>
      <x:c r="C59" s="1" t="n">
        <x:v>29201</x:v>
      </x:c>
      <x:c r="D59" t="str">
        <x:v>disclosed</x:v>
      </x:c>
      <x:c r="E59" t="str">
        <x:v>trv_ar_2022</x:v>
      </x:c>
      <x:c r="F59" t="n">
        <x:v>148</x:v>
      </x:c>
      <x:c r="G59" t="str">
        <x:v>2023-02-16</x:v>
      </x:c>
      <x:c r="H59" t="str">
        <x:v>https://s26.q4cdn.com/410417801/files/doc_financials/2022/ar/B/Travelers-2022-Annual-Report-pdf.pdf</x:v>
      </x:c>
      <x:c r="I59" t="str">
        <x:v>https://www.sec.gov/Archives/edgar/data/86312/000008631223000011/0000086312-23-000011-index.htm</x:v>
      </x:c>
      <x:c r="J59" t="str">
        <x:v>294fc17bdf196969c710ce679ef9470ca87e3d059b50f898fe487e5c68dd107d</x:v>
      </x:c>
    </x:row>
    <x:row r="60">
      <x:c r="A60" t="n">
        <x:v>2020</x:v>
      </x:c>
      <x:c r="B60" t="str">
        <x:v>closing_shares</x:v>
      </x:c>
      <x:c r="C60" s="1" t="n">
        <x:v>252.4</x:v>
      </x:c>
      <x:c r="D60" t="str">
        <x:v>disclosed</x:v>
      </x:c>
      <x:c r="E60" t="str">
        <x:v>trv_ar_2022</x:v>
      </x:c>
      <x:c r="F60" t="n">
        <x:v>148</x:v>
      </x:c>
      <x:c r="G60" t="str">
        <x:v>2023-02-16</x:v>
      </x:c>
      <x:c r="H60" t="str">
        <x:v>https://s26.q4cdn.com/410417801/files/doc_financials/2022/ar/B/Travelers-2022-Annual-Report-pdf.pdf</x:v>
      </x:c>
      <x:c r="I60" t="str">
        <x:v>https://www.sec.gov/Archives/edgar/data/86312/000008631223000011/0000086312-23-000011-index.htm</x:v>
      </x:c>
      <x:c r="J60" t="str">
        <x:v>294fc17bdf196969c710ce679ef9470ca87e3d059b50f898fe487e5c68dd107d</x:v>
      </x:c>
    </x:row>
    <x:row r="61">
      <x:c r="A61" t="n">
        <x:v>2020</x:v>
      </x:c>
      <x:c r="B61" t="str">
        <x:v>common_stock</x:v>
      </x:c>
      <x:c r="C61" s="1" t="n">
        <x:v>23743</x:v>
      </x:c>
      <x:c r="D61" t="str">
        <x:v>disclosed</x:v>
      </x:c>
      <x:c r="E61" t="str">
        <x:v>trv_ar_2021</x:v>
      </x:c>
      <x:c r="F61" t="n">
        <x:v>146</x:v>
      </x:c>
      <x:c r="G61" t="str">
        <x:v>2022-02-17</x:v>
      </x:c>
      <x:c r="H61" t="str">
        <x:v>https://s26.q4cdn.com/410417801/files/doc_financials/2021/ar/Travelers-2021-Annual-Report.pdf</x:v>
      </x:c>
      <x:c r="I61" t="str">
        <x:v>https://www.sec.gov/Archives/edgar/data/86312/000008631222000013/0000086312-22-000013-index.htm</x:v>
      </x:c>
      <x:c r="J61" t="str">
        <x:v>3e42291a1ec9a7e2d27596f4d839cf36f538eeec1d16b3dbf718001c3471c92c</x:v>
      </x:c>
    </x:row>
    <x:row r="62">
      <x:c r="A62" t="n">
        <x:v>2020</x:v>
      </x:c>
      <x:c r="B62" t="str">
        <x:v>contractholder_payables</x:v>
      </x:c>
      <x:c r="C62" s="1" t="n">
        <x:v>4261</x:v>
      </x:c>
      <x:c r="D62" t="str">
        <x:v>disclosed</x:v>
      </x:c>
      <x:c r="E62" t="str">
        <x:v>trv_ar_2021</x:v>
      </x:c>
      <x:c r="F62" t="n">
        <x:v>146</x:v>
      </x:c>
      <x:c r="G62" t="str">
        <x:v>2022-02-17</x:v>
      </x:c>
      <x:c r="H62" t="str">
        <x:v>https://s26.q4cdn.com/410417801/files/doc_financials/2021/ar/Travelers-2021-Annual-Report.pdf</x:v>
      </x:c>
      <x:c r="I62" t="str">
        <x:v>https://www.sec.gov/Archives/edgar/data/86312/000008631222000013/0000086312-22-000013-index.htm</x:v>
      </x:c>
      <x:c r="J62" t="str">
        <x:v>3e42291a1ec9a7e2d27596f4d839cf36f538eeec1d16b3dbf718001c3471c92c</x:v>
      </x:c>
    </x:row>
    <x:row r="63">
      <x:c r="A63" t="n">
        <x:v>2020</x:v>
      </x:c>
      <x:c r="B63" t="str">
        <x:v>contractholder_receivables</x:v>
      </x:c>
      <x:c r="C63" s="1" t="n">
        <x:v>4242</x:v>
      </x:c>
      <x:c r="D63" t="str">
        <x:v>disclosed</x:v>
      </x:c>
      <x:c r="E63" t="str">
        <x:v>trv_ar_2021</x:v>
      </x:c>
      <x:c r="F63" t="n">
        <x:v>146</x:v>
      </x:c>
      <x:c r="G63" t="str">
        <x:v>2022-02-17</x:v>
      </x:c>
      <x:c r="H63" t="str">
        <x:v>https://s26.q4cdn.com/410417801/files/doc_financials/2021/ar/Travelers-2021-Annual-Report.pdf</x:v>
      </x:c>
      <x:c r="I63" t="str">
        <x:v>https://www.sec.gov/Archives/edgar/data/86312/000008631222000013/0000086312-22-000013-index.htm</x:v>
      </x:c>
      <x:c r="J63" t="str">
        <x:v>3e42291a1ec9a7e2d27596f4d839cf36f538eeec1d16b3dbf718001c3471c92c</x:v>
      </x:c>
    </x:row>
    <x:row r="64">
      <x:c r="A64" t="n">
        <x:v>2020</x:v>
      </x:c>
      <x:c r="B64" t="str">
        <x:v>current_incurred</x:v>
      </x:c>
      <x:c r="C64" s="1" t="n">
        <x:v>19285</x:v>
      </x:c>
      <x:c r="D64" t="str">
        <x:v>disclosed</x:v>
      </x:c>
      <x:c r="E64" t="str">
        <x:v>trv_ar_2021</x:v>
      </x:c>
      <x:c r="F64" t="n">
        <x:v>182</x:v>
      </x:c>
      <x:c r="G64" t="str">
        <x:v>2022-02-17</x:v>
      </x:c>
      <x:c r="H64" t="str">
        <x:v>https://s26.q4cdn.com/410417801/files/doc_financials/2021/ar/Travelers-2021-Annual-Report.pdf</x:v>
      </x:c>
      <x:c r="I64" t="str">
        <x:v>https://www.sec.gov/Archives/edgar/data/86312/000008631222000013/0000086312-22-000013-index.htm</x:v>
      </x:c>
      <x:c r="J64" t="str">
        <x:v>3e42291a1ec9a7e2d27596f4d839cf36f538eeec1d16b3dbf718001c3471c92c</x:v>
      </x:c>
    </x:row>
    <x:row r="65">
      <x:c r="A65" t="n">
        <x:v>2020</x:v>
      </x:c>
      <x:c r="B65" t="str">
        <x:v>dac</x:v>
      </x:c>
      <x:c r="C65" s="1" t="n">
        <x:v>2358</x:v>
      </x:c>
      <x:c r="D65" t="str">
        <x:v>disclosed</x:v>
      </x:c>
      <x:c r="E65" t="str">
        <x:v>trv_ar_2021</x:v>
      </x:c>
      <x:c r="F65" t="n">
        <x:v>146</x:v>
      </x:c>
      <x:c r="G65" t="str">
        <x:v>2022-02-17</x:v>
      </x:c>
      <x:c r="H65" t="str">
        <x:v>https://s26.q4cdn.com/410417801/files/doc_financials/2021/ar/Travelers-2021-Annual-Report.pdf</x:v>
      </x:c>
      <x:c r="I65" t="str">
        <x:v>https://www.sec.gov/Archives/edgar/data/86312/000008631222000013/0000086312-22-000013-index.htm</x:v>
      </x:c>
      <x:c r="J65" t="str">
        <x:v>3e42291a1ec9a7e2d27596f4d839cf36f538eeec1d16b3dbf718001c3471c92c</x:v>
      </x:c>
    </x:row>
    <x:row r="66">
      <x:c r="A66" t="n">
        <x:v>2020</x:v>
      </x:c>
      <x:c r="B66" t="str">
        <x:v>dac_amortization</x:v>
      </x:c>
      <x:c r="C66" s="1" t="n">
        <x:v>4773</x:v>
      </x:c>
      <x:c r="D66" t="str">
        <x:v>disclosed</x:v>
      </x:c>
      <x:c r="E66" t="str">
        <x:v>trv_ar_2022</x:v>
      </x:c>
      <x:c r="F66" t="n">
        <x:v>145</x:v>
      </x:c>
      <x:c r="G66" t="str">
        <x:v>2023-02-16</x:v>
      </x:c>
      <x:c r="H66" t="str">
        <x:v>https://s26.q4cdn.com/410417801/files/doc_financials/2022/ar/B/Travelers-2022-Annual-Report-pdf.pdf</x:v>
      </x:c>
      <x:c r="I66" t="str">
        <x:v>https://www.sec.gov/Archives/edgar/data/86312/000008631223000011/0000086312-23-000011-index.htm</x:v>
      </x:c>
      <x:c r="J66" t="str">
        <x:v>294fc17bdf196969c710ce679ef9470ca87e3d059b50f898fe487e5c68dd107d</x:v>
      </x:c>
    </x:row>
    <x:row r="67">
      <x:c r="A67" t="n">
        <x:v>2020</x:v>
      </x:c>
      <x:c r="B67" t="str">
        <x:v>dac_cash_additions</x:v>
      </x:c>
      <x:c r="C67" s="1" t="n">
        <x:v>4854</x:v>
      </x:c>
      <x:c r="D67" t="str">
        <x:v>disclosed</x:v>
      </x:c>
      <x:c r="E67" t="str">
        <x:v>trv_ar_2022</x:v>
      </x:c>
      <x:c r="F67" t="n">
        <x:v>149</x:v>
      </x:c>
      <x:c r="G67" t="str">
        <x:v>2023-02-16</x:v>
      </x:c>
      <x:c r="H67" t="str">
        <x:v>https://s26.q4cdn.com/410417801/files/doc_financials/2022/ar/B/Travelers-2022-Annual-Report-pdf.pdf</x:v>
      </x:c>
      <x:c r="I67" t="str">
        <x:v>https://www.sec.gov/Archives/edgar/data/86312/000008631223000011/0000086312-23-000011-index.htm</x:v>
      </x:c>
      <x:c r="J67" t="str">
        <x:v>294fc17bdf196969c710ce679ef9470ca87e3d059b50f898fe487e5c68dd107d</x:v>
      </x:c>
    </x:row>
    <x:row r="68">
      <x:c r="A68" t="n">
        <x:v>2020</x:v>
      </x:c>
      <x:c r="B68" t="str">
        <x:v>debt</x:v>
      </x:c>
      <x:c r="C68" s="1" t="n">
        <x:v>6550</x:v>
      </x:c>
      <x:c r="D68" t="str">
        <x:v>disclosed</x:v>
      </x:c>
      <x:c r="E68" t="str">
        <x:v>trv_ar_2021</x:v>
      </x:c>
      <x:c r="F68" t="n">
        <x:v>146</x:v>
      </x:c>
      <x:c r="G68" t="str">
        <x:v>2022-02-17</x:v>
      </x:c>
      <x:c r="H68" t="str">
        <x:v>https://s26.q4cdn.com/410417801/files/doc_financials/2021/ar/Travelers-2021-Annual-Report.pdf</x:v>
      </x:c>
      <x:c r="I68" t="str">
        <x:v>https://www.sec.gov/Archives/edgar/data/86312/000008631222000013/0000086312-22-000013-index.htm</x:v>
      </x:c>
      <x:c r="J68" t="str">
        <x:v>3e42291a1ec9a7e2d27596f4d839cf36f538eeec1d16b3dbf718001c3471c92c</x:v>
      </x:c>
    </x:row>
    <x:row r="69">
      <x:c r="A69" t="n">
        <x:v>2020</x:v>
      </x:c>
      <x:c r="B69" t="str">
        <x:v>debt_issuance</x:v>
      </x:c>
      <x:c r="C69" s="1" t="n">
        <x:v>490</x:v>
      </x:c>
      <x:c r="D69" t="str">
        <x:v>disclosed</x:v>
      </x:c>
      <x:c r="E69" t="str">
        <x:v>trv_ar_2022</x:v>
      </x:c>
      <x:c r="F69" t="n">
        <x:v>149</x:v>
      </x:c>
      <x:c r="G69" t="str">
        <x:v>2023-02-16</x:v>
      </x:c>
      <x:c r="H69" t="str">
        <x:v>https://s26.q4cdn.com/410417801/files/doc_financials/2022/ar/B/Travelers-2022-Annual-Report-pdf.pdf</x:v>
      </x:c>
      <x:c r="I69" t="str">
        <x:v>https://www.sec.gov/Archives/edgar/data/86312/000008631223000011/0000086312-23-000011-index.htm</x:v>
      </x:c>
      <x:c r="J69" t="str">
        <x:v>294fc17bdf196969c710ce679ef9470ca87e3d059b50f898fe487e5c68dd107d</x:v>
      </x:c>
    </x:row>
    <x:row r="70">
      <x:c r="A70" t="n">
        <x:v>2020</x:v>
      </x:c>
      <x:c r="B70" t="str">
        <x:v>debt_repayment</x:v>
      </x:c>
      <x:c r="C70" s="1" t="n">
        <x:v>500</x:v>
      </x:c>
      <x:c r="D70" t="str">
        <x:v>disclosed</x:v>
      </x:c>
      <x:c r="E70" t="str">
        <x:v>trv_ar_2022</x:v>
      </x:c>
      <x:c r="F70" t="n">
        <x:v>149</x:v>
      </x:c>
      <x:c r="G70" t="str">
        <x:v>2023-02-16</x:v>
      </x:c>
      <x:c r="H70" t="str">
        <x:v>https://s26.q4cdn.com/410417801/files/doc_financials/2022/ar/B/Travelers-2022-Annual-Report-pdf.pdf</x:v>
      </x:c>
      <x:c r="I70" t="str">
        <x:v>https://www.sec.gov/Archives/edgar/data/86312/000008631223000011/0000086312-23-000011-index.htm</x:v>
      </x:c>
      <x:c r="J70" t="str">
        <x:v>294fc17bdf196969c710ce679ef9470ca87e3d059b50f898fe487e5c68dd107d</x:v>
      </x:c>
    </x:row>
    <x:row r="71">
      <x:c r="A71" t="n">
        <x:v>2020</x:v>
      </x:c>
      <x:c r="B71" t="str">
        <x:v>deferred_tax_liability</x:v>
      </x:c>
      <x:c r="C71" s="1" t="n">
        <x:v>558</x:v>
      </x:c>
      <x:c r="D71" t="str">
        <x:v>disclosed</x:v>
      </x:c>
      <x:c r="E71" t="str">
        <x:v>trv_ar_2021</x:v>
      </x:c>
      <x:c r="F71" t="n">
        <x:v>146</x:v>
      </x:c>
      <x:c r="G71" t="str">
        <x:v>2022-02-17</x:v>
      </x:c>
      <x:c r="H71" t="str">
        <x:v>https://s26.q4cdn.com/410417801/files/doc_financials/2021/ar/Travelers-2021-Annual-Report.pdf</x:v>
      </x:c>
      <x:c r="I71" t="str">
        <x:v>https://www.sec.gov/Archives/edgar/data/86312/000008631222000013/0000086312-22-000013-index.htm</x:v>
      </x:c>
      <x:c r="J71" t="str">
        <x:v>3e42291a1ec9a7e2d27596f4d839cf36f538eeec1d16b3dbf718001c3471c92c</x:v>
      </x:c>
    </x:row>
    <x:row r="72">
      <x:c r="A72" t="n">
        <x:v>2020</x:v>
      </x:c>
      <x:c r="B72" t="str">
        <x:v>direct_earned</x:v>
      </x:c>
      <x:c r="C72" s="1" t="n">
        <x:v>29978</x:v>
      </x:c>
      <x:c r="D72" t="str">
        <x:v>disclosed</x:v>
      </x:c>
      <x:c r="E72" t="str">
        <x:v>trv_ar_2022</x:v>
      </x:c>
      <x:c r="F72" t="n">
        <x:v>179</x:v>
      </x:c>
      <x:c r="G72" t="str">
        <x:v>2023-02-16</x:v>
      </x:c>
      <x:c r="H72" t="str">
        <x:v>https://s26.q4cdn.com/410417801/files/doc_financials/2022/ar/B/Travelers-2022-Annual-Report-pdf.pdf</x:v>
      </x:c>
      <x:c r="I72" t="str">
        <x:v>https://www.sec.gov/Archives/edgar/data/86312/000008631223000011/0000086312-23-000011-index.htm</x:v>
      </x:c>
      <x:c r="J72" t="str">
        <x:v>294fc17bdf196969c710ce679ef9470ca87e3d059b50f898fe487e5c68dd107d</x:v>
      </x:c>
    </x:row>
    <x:row r="73">
      <x:c r="A73" t="n">
        <x:v>2020</x:v>
      </x:c>
      <x:c r="B73" t="str">
        <x:v>direct_written</x:v>
      </x:c>
      <x:c r="C73" s="1" t="n">
        <x:v>30762</x:v>
      </x:c>
      <x:c r="D73" t="str">
        <x:v>disclosed</x:v>
      </x:c>
      <x:c r="E73" t="str">
        <x:v>trv_ar_2022</x:v>
      </x:c>
      <x:c r="F73" t="n">
        <x:v>179</x:v>
      </x:c>
      <x:c r="G73" t="str">
        <x:v>2023-02-16</x:v>
      </x:c>
      <x:c r="H73" t="str">
        <x:v>https://s26.q4cdn.com/410417801/files/doc_financials/2022/ar/B/Travelers-2022-Annual-Report-pdf.pdf</x:v>
      </x:c>
      <x:c r="I73" t="str">
        <x:v>https://www.sec.gov/Archives/edgar/data/86312/000008631223000011/0000086312-23-000011-index.htm</x:v>
      </x:c>
      <x:c r="J73" t="str">
        <x:v>294fc17bdf196969c710ce679ef9470ca87e3d059b50f898fe487e5c68dd107d</x:v>
      </x:c>
    </x:row>
    <x:row r="74">
      <x:c r="A74" t="n">
        <x:v>2020</x:v>
      </x:c>
      <x:c r="B74" t="str">
        <x:v>dividends_cash</x:v>
      </x:c>
      <x:c r="C74" s="1" t="n">
        <x:v>861</x:v>
      </x:c>
      <x:c r="D74" t="str">
        <x:v>disclosed</x:v>
      </x:c>
      <x:c r="E74" t="str">
        <x:v>trv_ar_2022</x:v>
      </x:c>
      <x:c r="F74" t="n">
        <x:v>149</x:v>
      </x:c>
      <x:c r="G74" t="str">
        <x:v>2023-02-16</x:v>
      </x:c>
      <x:c r="H74" t="str">
        <x:v>https://s26.q4cdn.com/410417801/files/doc_financials/2022/ar/B/Travelers-2022-Annual-Report-pdf.pdf</x:v>
      </x:c>
      <x:c r="I74" t="str">
        <x:v>https://www.sec.gov/Archives/edgar/data/86312/000008631223000011/0000086312-23-000011-index.htm</x:v>
      </x:c>
      <x:c r="J74" t="str">
        <x:v>294fc17bdf196969c710ce679ef9470ca87e3d059b50f898fe487e5c68dd107d</x:v>
      </x:c>
    </x:row>
    <x:row r="75">
      <x:c r="A75" t="n">
        <x:v>2020</x:v>
      </x:c>
      <x:c r="B75" t="str">
        <x:v>employee_option_cash</x:v>
      </x:c>
      <x:c r="C75" s="1" t="n">
        <x:v>127</x:v>
      </x:c>
      <x:c r="D75" t="str">
        <x:v>disclosed</x:v>
      </x:c>
      <x:c r="E75" t="str">
        <x:v>trv_ar_2022</x:v>
      </x:c>
      <x:c r="F75" t="n">
        <x:v>149</x:v>
      </x:c>
      <x:c r="G75" t="str">
        <x:v>2023-02-16</x:v>
      </x:c>
      <x:c r="H75" t="str">
        <x:v>https://s26.q4cdn.com/410417801/files/doc_financials/2022/ar/B/Travelers-2022-Annual-Report-pdf.pdf</x:v>
      </x:c>
      <x:c r="I75" t="str">
        <x:v>https://www.sec.gov/Archives/edgar/data/86312/000008631223000011/0000086312-23-000011-index.htm</x:v>
      </x:c>
      <x:c r="J75" t="str">
        <x:v>294fc17bdf196969c710ce679ef9470ca87e3d059b50f898fe487e5c68dd107d</x:v>
      </x:c>
    </x:row>
    <x:row r="76">
      <x:c r="A76" t="n">
        <x:v>2020</x:v>
      </x:c>
      <x:c r="B76" t="str">
        <x:v>employee_share_net_cash</x:v>
      </x:c>
      <x:c r="C76" s="1" t="n">
        <x:v>47</x:v>
      </x:c>
      <x:c r="D76" t="str">
        <x:v>disclosed</x:v>
      </x:c>
      <x:c r="E76" t="str">
        <x:v>trv_ar_2022</x:v>
      </x:c>
      <x:c r="F76" t="n">
        <x:v>149</x:v>
      </x:c>
      <x:c r="G76" t="str">
        <x:v>2023-02-16</x:v>
      </x:c>
      <x:c r="H76" t="str">
        <x:v>https://s26.q4cdn.com/410417801/files/doc_financials/2022/ar/B/Travelers-2022-Annual-Report-pdf.pdf</x:v>
      </x:c>
      <x:c r="I76" t="str">
        <x:v>https://www.sec.gov/Archives/edgar/data/86312/000008631223000011/0000086312-23-000011-index.htm</x:v>
      </x:c>
      <x:c r="J76" t="str">
        <x:v>294fc17bdf196969c710ce679ef9470ca87e3d059b50f898fe487e5c68dd107d</x:v>
      </x:c>
    </x:row>
    <x:row r="77">
      <x:c r="A77" t="n">
        <x:v>2020</x:v>
      </x:c>
      <x:c r="B77" t="str">
        <x:v>employee_shares_equity</x:v>
      </x:c>
      <x:c r="C77" s="1" t="n">
        <x:v>123</x:v>
      </x:c>
      <x:c r="D77" t="str">
        <x:v>disclosed</x:v>
      </x:c>
      <x:c r="E77" t="str">
        <x:v>trv_ar_2022</x:v>
      </x:c>
      <x:c r="F77" t="n">
        <x:v>148</x:v>
      </x:c>
      <x:c r="G77" t="str">
        <x:v>2023-02-16</x:v>
      </x:c>
      <x:c r="H77" t="str">
        <x:v>https://s26.q4cdn.com/410417801/files/doc_financials/2022/ar/B/Travelers-2022-Annual-Report-pdf.pdf</x:v>
      </x:c>
      <x:c r="I77" t="str">
        <x:v>https://www.sec.gov/Archives/edgar/data/86312/000008631223000011/0000086312-23-000011-index.htm</x:v>
      </x:c>
      <x:c r="J77" t="str">
        <x:v>294fc17bdf196969c710ce679ef9470ca87e3d059b50f898fe487e5c68dd107d</x:v>
      </x:c>
    </x:row>
    <x:row r="78">
      <x:c r="A78" t="n">
        <x:v>2020</x:v>
      </x:c>
      <x:c r="B78" t="str">
        <x:v>equity</x:v>
      </x:c>
      <x:c r="C78" s="1" t="n">
        <x:v>29201</x:v>
      </x:c>
      <x:c r="D78" t="str">
        <x:v>disclosed</x:v>
      </x:c>
      <x:c r="E78" t="str">
        <x:v>trv_ar_2021</x:v>
      </x:c>
      <x:c r="F78" t="n">
        <x:v>146</x:v>
      </x:c>
      <x:c r="G78" t="str">
        <x:v>2022-02-17</x:v>
      </x:c>
      <x:c r="H78" t="str">
        <x:v>https://s26.q4cdn.com/410417801/files/doc_financials/2021/ar/Travelers-2021-Annual-Report.pdf</x:v>
      </x:c>
      <x:c r="I78" t="str">
        <x:v>https://www.sec.gov/Archives/edgar/data/86312/000008631222000013/0000086312-22-000013-index.htm</x:v>
      </x:c>
      <x:c r="J78" t="str">
        <x:v>3e42291a1ec9a7e2d27596f4d839cf36f538eeec1d16b3dbf718001c3471c92c</x:v>
      </x:c>
    </x:row>
    <x:row r="79">
      <x:c r="A79" t="n">
        <x:v>2020</x:v>
      </x:c>
      <x:c r="B79" t="str">
        <x:v>equity_buybacks_authorized</x:v>
      </x:c>
      <x:c r="C79" s="1" t="n">
        <x:v>625</x:v>
      </x:c>
      <x:c r="D79" t="str">
        <x:v>disclosed</x:v>
      </x:c>
      <x:c r="E79" t="str">
        <x:v>trv_ar_2022</x:v>
      </x:c>
      <x:c r="F79" t="n">
        <x:v>148</x:v>
      </x:c>
      <x:c r="G79" t="str">
        <x:v>2023-02-16</x:v>
      </x:c>
      <x:c r="H79" t="str">
        <x:v>https://s26.q4cdn.com/410417801/files/doc_financials/2022/ar/B/Travelers-2022-Annual-Report-pdf.pdf</x:v>
      </x:c>
      <x:c r="I79" t="str">
        <x:v>https://www.sec.gov/Archives/edgar/data/86312/000008631223000011/0000086312-23-000011-index.htm</x:v>
      </x:c>
      <x:c r="J79" t="str">
        <x:v>294fc17bdf196969c710ce679ef9470ca87e3d059b50f898fe487e5c68dd107d</x:v>
      </x:c>
    </x:row>
    <x:row r="80">
      <x:c r="A80" t="n">
        <x:v>2020</x:v>
      </x:c>
      <x:c r="B80" t="str">
        <x:v>equity_dividends</x:v>
      </x:c>
      <x:c r="C80" s="1" t="n">
        <x:v>864</x:v>
      </x:c>
      <x:c r="D80" t="str">
        <x:v>disclosed</x:v>
      </x:c>
      <x:c r="E80" t="str">
        <x:v>trv_ar_2022</x:v>
      </x:c>
      <x:c r="F80" t="n">
        <x:v>148</x:v>
      </x:c>
      <x:c r="G80" t="str">
        <x:v>2023-02-16</x:v>
      </x:c>
      <x:c r="H80" t="str">
        <x:v>https://s26.q4cdn.com/410417801/files/doc_financials/2022/ar/B/Travelers-2022-Annual-Report-pdf.pdf</x:v>
      </x:c>
      <x:c r="I80" t="str">
        <x:v>https://www.sec.gov/Archives/edgar/data/86312/000008631223000011/0000086312-23-000011-index.htm</x:v>
      </x:c>
      <x:c r="J80" t="str">
        <x:v>294fc17bdf196969c710ce679ef9470ca87e3d059b50f898fe487e5c68dd107d</x:v>
      </x:c>
    </x:row>
    <x:row r="81">
      <x:c r="A81" t="n">
        <x:v>2020</x:v>
      </x:c>
      <x:c r="B81" t="str">
        <x:v>equity_employee_treasury</x:v>
      </x:c>
      <x:c r="C81" s="1" t="n">
        <x:v>47</x:v>
      </x:c>
      <x:c r="D81" t="str">
        <x:v>disclosed</x:v>
      </x:c>
      <x:c r="E81" t="str">
        <x:v>trv_ar_2022</x:v>
      </x:c>
      <x:c r="F81" t="n">
        <x:v>148</x:v>
      </x:c>
      <x:c r="G81" t="str">
        <x:v>2023-02-16</x:v>
      </x:c>
      <x:c r="H81" t="str">
        <x:v>https://s26.q4cdn.com/410417801/files/doc_financials/2022/ar/B/Travelers-2022-Annual-Report-pdf.pdf</x:v>
      </x:c>
      <x:c r="I81" t="str">
        <x:v>https://www.sec.gov/Archives/edgar/data/86312/000008631223000011/0000086312-23-000011-index.htm</x:v>
      </x:c>
      <x:c r="J81" t="str">
        <x:v>294fc17bdf196969c710ce679ef9470ca87e3d059b50f898fe487e5c68dd107d</x:v>
      </x:c>
    </x:row>
    <x:row r="82">
      <x:c r="A82" t="n">
        <x:v>2020</x:v>
      </x:c>
      <x:c r="B82" t="str">
        <x:v>equity_investments</x:v>
      </x:c>
      <x:c r="C82" s="1" t="n">
        <x:v>484</x:v>
      </x:c>
      <x:c r="D82" t="str">
        <x:v>disclosed</x:v>
      </x:c>
      <x:c r="E82" t="str">
        <x:v>trv_ar_2021</x:v>
      </x:c>
      <x:c r="F82" t="n">
        <x:v>146</x:v>
      </x:c>
      <x:c r="G82" t="str">
        <x:v>2022-02-17</x:v>
      </x:c>
      <x:c r="H82" t="str">
        <x:v>https://s26.q4cdn.com/410417801/files/doc_financials/2021/ar/Travelers-2021-Annual-Report.pdf</x:v>
      </x:c>
      <x:c r="I82" t="str">
        <x:v>https://www.sec.gov/Archives/edgar/data/86312/000008631222000013/0000086312-22-000013-index.htm</x:v>
      </x:c>
      <x:c r="J82" t="str">
        <x:v>3e42291a1ec9a7e2d27596f4d839cf36f538eeec1d16b3dbf718001c3471c92c</x:v>
      </x:c>
    </x:row>
    <x:row r="83">
      <x:c r="A83" t="n">
        <x:v>2020</x:v>
      </x:c>
      <x:c r="B83" t="str">
        <x:v>equity_security_purchases</x:v>
      </x:c>
      <x:c r="C83" s="1" t="n">
        <x:v>127</x:v>
      </x:c>
      <x:c r="D83" t="str">
        <x:v>disclosed</x:v>
      </x:c>
      <x:c r="E83" t="str">
        <x:v>trv_ar_2022</x:v>
      </x:c>
      <x:c r="F83" t="n">
        <x:v>149</x:v>
      </x:c>
      <x:c r="G83" t="str">
        <x:v>2023-02-16</x:v>
      </x:c>
      <x:c r="H83" t="str">
        <x:v>https://s26.q4cdn.com/410417801/files/doc_financials/2022/ar/B/Travelers-2022-Annual-Report-pdf.pdf</x:v>
      </x:c>
      <x:c r="I83" t="str">
        <x:v>https://www.sec.gov/Archives/edgar/data/86312/000008631223000011/0000086312-23-000011-index.htm</x:v>
      </x:c>
      <x:c r="J83" t="str">
        <x:v>294fc17bdf196969c710ce679ef9470ca87e3d059b50f898fe487e5c68dd107d</x:v>
      </x:c>
    </x:row>
    <x:row r="84">
      <x:c r="A84" t="n">
        <x:v>2020</x:v>
      </x:c>
      <x:c r="B84" t="str">
        <x:v>equity_security_sale_proceeds</x:v>
      </x:c>
      <x:c r="C84" s="1" t="n">
        <x:v>116</x:v>
      </x:c>
      <x:c r="D84" t="str">
        <x:v>disclosed</x:v>
      </x:c>
      <x:c r="E84" t="str">
        <x:v>trv_ar_2022</x:v>
      </x:c>
      <x:c r="F84" t="n">
        <x:v>149</x:v>
      </x:c>
      <x:c r="G84" t="str">
        <x:v>2023-02-16</x:v>
      </x:c>
      <x:c r="H84" t="str">
        <x:v>https://s26.q4cdn.com/410417801/files/doc_financials/2022/ar/B/Travelers-2022-Annual-Report-pdf.pdf</x:v>
      </x:c>
      <x:c r="I84" t="str">
        <x:v>https://www.sec.gov/Archives/edgar/data/86312/000008631223000011/0000086312-23-000011-index.htm</x:v>
      </x:c>
      <x:c r="J84" t="str">
        <x:v>294fc17bdf196969c710ce679ef9470ca87e3d059b50f898fe487e5c68dd107d</x:v>
      </x:c>
    </x:row>
    <x:row r="85">
      <x:c r="A85" t="n">
        <x:v>2020</x:v>
      </x:c>
      <x:c r="B85" t="str">
        <x:v>fee_income</x:v>
      </x:c>
      <x:c r="C85" s="1" t="n">
        <x:v>429</x:v>
      </x:c>
      <x:c r="D85" t="str">
        <x:v>disclosed</x:v>
      </x:c>
      <x:c r="E85" t="str">
        <x:v>trv_ar_2022</x:v>
      </x:c>
      <x:c r="F85" t="n">
        <x:v>145</x:v>
      </x:c>
      <x:c r="G85" t="str">
        <x:v>2023-02-16</x:v>
      </x:c>
      <x:c r="H85" t="str">
        <x:v>https://s26.q4cdn.com/410417801/files/doc_financials/2022/ar/B/Travelers-2022-Annual-Report-pdf.pdf</x:v>
      </x:c>
      <x:c r="I85" t="str">
        <x:v>https://www.sec.gov/Archives/edgar/data/86312/000008631223000011/0000086312-23-000011-index.htm</x:v>
      </x:c>
      <x:c r="J85" t="str">
        <x:v>294fc17bdf196969c710ce679ef9470ca87e3d059b50f898fe487e5c68dd107d</x:v>
      </x:c>
    </x:row>
    <x:row r="86">
      <x:c r="A86" t="n">
        <x:v>2020</x:v>
      </x:c>
      <x:c r="B86" t="str">
        <x:v>fixed_maturity_cost</x:v>
      </x:c>
      <x:c r="C86" s="1" t="n">
        <x:v>68830</x:v>
      </x:c>
      <x:c r="D86" t="str">
        <x:v>disclosed</x:v>
      </x:c>
      <x:c r="E86" t="str">
        <x:v>trv_ar_2021</x:v>
      </x:c>
      <x:c r="F86" t="n">
        <x:v>146</x:v>
      </x:c>
      <x:c r="G86" t="str">
        <x:v>2022-02-17</x:v>
      </x:c>
      <x:c r="H86" t="str">
        <x:v>https://s26.q4cdn.com/410417801/files/doc_financials/2021/ar/Travelers-2021-Annual-Report.pdf</x:v>
      </x:c>
      <x:c r="I86" t="str">
        <x:v>https://www.sec.gov/Archives/edgar/data/86312/000008631222000013/0000086312-22-000013-index.htm</x:v>
      </x:c>
      <x:c r="J86" t="str">
        <x:v>3e42291a1ec9a7e2d27596f4d839cf36f538eeec1d16b3dbf718001c3471c92c</x:v>
      </x:c>
    </x:row>
    <x:row r="87">
      <x:c r="A87" t="n">
        <x:v>2020</x:v>
      </x:c>
      <x:c r="B87" t="str">
        <x:v>fixed_maturity_fair</x:v>
      </x:c>
      <x:c r="C87" s="1" t="n">
        <x:v>74003</x:v>
      </x:c>
      <x:c r="D87" t="str">
        <x:v>disclosed</x:v>
      </x:c>
      <x:c r="E87" t="str">
        <x:v>trv_ar_2021</x:v>
      </x:c>
      <x:c r="F87" t="n">
        <x:v>146</x:v>
      </x:c>
      <x:c r="G87" t="str">
        <x:v>2022-02-17</x:v>
      </x:c>
      <x:c r="H87" t="str">
        <x:v>https://s26.q4cdn.com/410417801/files/doc_financials/2021/ar/Travelers-2021-Annual-Report.pdf</x:v>
      </x:c>
      <x:c r="I87" t="str">
        <x:v>https://www.sec.gov/Archives/edgar/data/86312/000008631222000013/0000086312-22-000013-index.htm</x:v>
      </x:c>
      <x:c r="J87" t="str">
        <x:v>3e42291a1ec9a7e2d27596f4d839cf36f538eeec1d16b3dbf718001c3471c92c</x:v>
      </x:c>
    </x:row>
    <x:row r="88">
      <x:c r="A88" t="n">
        <x:v>2020</x:v>
      </x:c>
      <x:c r="B88" t="str">
        <x:v>fixed_maturity_maturities</x:v>
      </x:c>
      <x:c r="C88" s="1" t="n">
        <x:v>7387</x:v>
      </x:c>
      <x:c r="D88" t="str">
        <x:v>disclosed</x:v>
      </x:c>
      <x:c r="E88" t="str">
        <x:v>trv_ar_2022</x:v>
      </x:c>
      <x:c r="F88" t="n">
        <x:v>149</x:v>
      </x:c>
      <x:c r="G88" t="str">
        <x:v>2023-02-16</x:v>
      </x:c>
      <x:c r="H88" t="str">
        <x:v>https://s26.q4cdn.com/410417801/files/doc_financials/2022/ar/B/Travelers-2022-Annual-Report-pdf.pdf</x:v>
      </x:c>
      <x:c r="I88" t="str">
        <x:v>https://www.sec.gov/Archives/edgar/data/86312/000008631223000011/0000086312-23-000011-index.htm</x:v>
      </x:c>
      <x:c r="J88" t="str">
        <x:v>294fc17bdf196969c710ce679ef9470ca87e3d059b50f898fe487e5c68dd107d</x:v>
      </x:c>
    </x:row>
    <x:row r="89">
      <x:c r="A89" t="n">
        <x:v>2020</x:v>
      </x:c>
      <x:c r="B89" t="str">
        <x:v>fixed_maturity_purchases</x:v>
      </x:c>
      <x:c r="C89" s="1" t="n">
        <x:v>14073</x:v>
      </x:c>
      <x:c r="D89" t="str">
        <x:v>disclosed</x:v>
      </x:c>
      <x:c r="E89" t="str">
        <x:v>trv_ar_2022</x:v>
      </x:c>
      <x:c r="F89" t="n">
        <x:v>149</x:v>
      </x:c>
      <x:c r="G89" t="str">
        <x:v>2023-02-16</x:v>
      </x:c>
      <x:c r="H89" t="str">
        <x:v>https://s26.q4cdn.com/410417801/files/doc_financials/2022/ar/B/Travelers-2022-Annual-Report-pdf.pdf</x:v>
      </x:c>
      <x:c r="I89" t="str">
        <x:v>https://www.sec.gov/Archives/edgar/data/86312/000008631223000011/0000086312-23-000011-index.htm</x:v>
      </x:c>
      <x:c r="J89" t="str">
        <x:v>294fc17bdf196969c710ce679ef9470ca87e3d059b50f898fe487e5c68dd107d</x:v>
      </x:c>
    </x:row>
    <x:row r="90">
      <x:c r="A90" t="n">
        <x:v>2020</x:v>
      </x:c>
      <x:c r="B90" t="str">
        <x:v>fixed_maturity_sale_proceeds</x:v>
      </x:c>
      <x:c r="C90" s="1" t="n">
        <x:v>3057</x:v>
      </x:c>
      <x:c r="D90" t="str">
        <x:v>disclosed</x:v>
      </x:c>
      <x:c r="E90" t="str">
        <x:v>trv_ar_2022</x:v>
      </x:c>
      <x:c r="F90" t="n">
        <x:v>149</x:v>
      </x:c>
      <x:c r="G90" t="str">
        <x:v>2023-02-16</x:v>
      </x:c>
      <x:c r="H90" t="str">
        <x:v>https://s26.q4cdn.com/410417801/files/doc_financials/2022/ar/B/Travelers-2022-Annual-Report-pdf.pdf</x:v>
      </x:c>
      <x:c r="I90" t="str">
        <x:v>https://www.sec.gov/Archives/edgar/data/86312/000008631223000011/0000086312-23-000011-index.htm</x:v>
      </x:c>
      <x:c r="J90" t="str">
        <x:v>294fc17bdf196969c710ce679ef9470ca87e3d059b50f898fe487e5c68dd107d</x:v>
      </x:c>
    </x:row>
    <x:row r="91">
      <x:c r="A91" t="n">
        <x:v>2020</x:v>
      </x:c>
      <x:c r="B91" t="str">
        <x:v>general_admin</x:v>
      </x:c>
      <x:c r="C91" s="1" t="n">
        <x:v>4509</x:v>
      </x:c>
      <x:c r="D91" t="str">
        <x:v>disclosed</x:v>
      </x:c>
      <x:c r="E91" t="str">
        <x:v>trv_ar_2022</x:v>
      </x:c>
      <x:c r="F91" t="n">
        <x:v>145</x:v>
      </x:c>
      <x:c r="G91" t="str">
        <x:v>2023-02-16</x:v>
      </x:c>
      <x:c r="H91" t="str">
        <x:v>https://s26.q4cdn.com/410417801/files/doc_financials/2022/ar/B/Travelers-2022-Annual-Report-pdf.pdf</x:v>
      </x:c>
      <x:c r="I91" t="str">
        <x:v>https://www.sec.gov/Archives/edgar/data/86312/000008631223000011/0000086312-23-000011-index.htm</x:v>
      </x:c>
      <x:c r="J91" t="str">
        <x:v>294fc17bdf196969c710ce679ef9470ca87e3d059b50f898fe487e5c68dd107d</x:v>
      </x:c>
    </x:row>
    <x:row r="92">
      <x:c r="A92" t="n">
        <x:v>2020</x:v>
      </x:c>
      <x:c r="B92" t="str">
        <x:v>goodwill</x:v>
      </x:c>
      <x:c r="C92" s="1" t="n">
        <x:v>3976</x:v>
      </x:c>
      <x:c r="D92" t="str">
        <x:v>disclosed</x:v>
      </x:c>
      <x:c r="E92" t="str">
        <x:v>trv_ar_2021</x:v>
      </x:c>
      <x:c r="F92" t="n">
        <x:v>146</x:v>
      </x:c>
      <x:c r="G92" t="str">
        <x:v>2022-02-17</x:v>
      </x:c>
      <x:c r="H92" t="str">
        <x:v>https://s26.q4cdn.com/410417801/files/doc_financials/2021/ar/Travelers-2021-Annual-Report.pdf</x:v>
      </x:c>
      <x:c r="I92" t="str">
        <x:v>https://www.sec.gov/Archives/edgar/data/86312/000008631222000013/0000086312-22-000013-index.htm</x:v>
      </x:c>
      <x:c r="J92" t="str">
        <x:v>3e42291a1ec9a7e2d27596f4d839cf36f538eeec1d16b3dbf718001c3471c92c</x:v>
      </x:c>
    </x:row>
    <x:row r="93">
      <x:c r="A93" t="n">
        <x:v>2020</x:v>
      </x:c>
      <x:c r="B93" t="str">
        <x:v>gross_earned</x:v>
      </x:c>
      <x:c r="C93" s="1" t="n">
        <x:v>30988</x:v>
      </x:c>
      <x:c r="D93" t="str">
        <x:v>derived</x:v>
      </x:c>
      <x:c r="E93" t="str">
        <x:v>trv_ar_2022</x:v>
      </x:c>
      <x:c r="F93" t="n">
        <x:v>179</x:v>
      </x:c>
      <x:c r="G93" t="str">
        <x:v>2023-02-16</x:v>
      </x:c>
      <x:c r="H93" t="str">
        <x:v>https://s26.q4cdn.com/410417801/files/doc_financials/2022/ar/B/Travelers-2022-Annual-Report-pdf.pdf</x:v>
      </x:c>
      <x:c r="I93" t="str">
        <x:v>https://www.sec.gov/Archives/edgar/data/86312/000008631223000011/0000086312-23-000011-index.htm</x:v>
      </x:c>
      <x:c r="J93" t="str">
        <x:v>294fc17bdf196969c710ce679ef9470ca87e3d059b50f898fe487e5c68dd107d</x:v>
      </x:c>
    </x:row>
    <x:row r="94">
      <x:c r="A94" t="n">
        <x:v>2020</x:v>
      </x:c>
      <x:c r="B94" t="str">
        <x:v>gross_reserves</x:v>
      </x:c>
      <x:c r="C94" s="1" t="n">
        <x:v>54510</x:v>
      </x:c>
      <x:c r="D94" t="str">
        <x:v>disclosed</x:v>
      </x:c>
      <x:c r="E94" t="str">
        <x:v>trv_ar_2021</x:v>
      </x:c>
      <x:c r="F94" t="n">
        <x:v>182</x:v>
      </x:c>
      <x:c r="G94" t="str">
        <x:v>2022-02-17</x:v>
      </x:c>
      <x:c r="H94" t="str">
        <x:v>https://s26.q4cdn.com/410417801/files/doc_financials/2021/ar/Travelers-2021-Annual-Report.pdf</x:v>
      </x:c>
      <x:c r="I94" t="str">
        <x:v>https://www.sec.gov/Archives/edgar/data/86312/000008631222000013/0000086312-22-000013-index.htm</x:v>
      </x:c>
      <x:c r="J94" t="str">
        <x:v>3e42291a1ec9a7e2d27596f4d839cf36f538eeec1d16b3dbf718001c3471c92c</x:v>
      </x:c>
    </x:row>
    <x:row r="95">
      <x:c r="A95" t="n">
        <x:v>2020</x:v>
      </x:c>
      <x:c r="B95" t="str">
        <x:v>gross_upr</x:v>
      </x:c>
      <x:c r="C95" s="1" t="n">
        <x:v>15222</x:v>
      </x:c>
      <x:c r="D95" t="str">
        <x:v>disclosed</x:v>
      </x:c>
      <x:c r="E95" t="str">
        <x:v>trv_ar_2020</x:v>
      </x:c>
      <x:c r="F95" t="n">
        <x:v>148</x:v>
      </x:c>
      <x:c r="G95" t="str">
        <x:v>2021-02-11</x:v>
      </x:c>
      <x:c r="H95" t="str">
        <x:v>https://s26.q4cdn.com/410417801/files/doc_financials/2020/ar/Travelers-2020-Annual-Report.pdf</x:v>
      </x:c>
      <x:c r="I95" t="str">
        <x:v>https://www.sec.gov/Archives/edgar/data/86312/000008631221000011/0000086312-21-000011-index.htm</x:v>
      </x:c>
      <x:c r="J95" t="str">
        <x:v>b0f912a2cacdacdaf296ae6888a862202aac27a8ad30009896d0de4b42358a88</x:v>
      </x:c>
    </x:row>
    <x:row r="96">
      <x:c r="A96" t="n">
        <x:v>2020</x:v>
      </x:c>
      <x:c r="B96" t="str">
        <x:v>gwp</x:v>
      </x:c>
      <x:c r="C96" s="1" t="n">
        <x:v>31763</x:v>
      </x:c>
      <x:c r="D96" t="str">
        <x:v>derived</x:v>
      </x:c>
      <x:c r="E96" t="str">
        <x:v>trv_ar_2022</x:v>
      </x:c>
      <x:c r="F96" t="n">
        <x:v>179</x:v>
      </x:c>
      <x:c r="G96" t="str">
        <x:v>2023-02-16</x:v>
      </x:c>
      <x:c r="H96" t="str">
        <x:v>https://s26.q4cdn.com/410417801/files/doc_financials/2022/ar/B/Travelers-2022-Annual-Report-pdf.pdf</x:v>
      </x:c>
      <x:c r="I96" t="str">
        <x:v>https://www.sec.gov/Archives/edgar/data/86312/000008631223000011/0000086312-23-000011-index.htm</x:v>
      </x:c>
      <x:c r="J96" t="str">
        <x:v>294fc17bdf196969c710ce679ef9470ca87e3d059b50f898fe487e5c68dd107d</x:v>
      </x:c>
    </x:row>
    <x:row r="97">
      <x:c r="A97" t="n">
        <x:v>2020</x:v>
      </x:c>
      <x:c r="B97" t="str">
        <x:v>intangible_assets</x:v>
      </x:c>
      <x:c r="C97" s="1" t="n">
        <x:v>317</x:v>
      </x:c>
      <x:c r="D97" t="str">
        <x:v>disclosed</x:v>
      </x:c>
      <x:c r="E97" t="str">
        <x:v>trv_ar_2021</x:v>
      </x:c>
      <x:c r="F97" t="n">
        <x:v>146</x:v>
      </x:c>
      <x:c r="G97" t="str">
        <x:v>2022-02-17</x:v>
      </x:c>
      <x:c r="H97" t="str">
        <x:v>https://s26.q4cdn.com/410417801/files/doc_financials/2021/ar/Travelers-2021-Annual-Report.pdf</x:v>
      </x:c>
      <x:c r="I97" t="str">
        <x:v>https://www.sec.gov/Archives/edgar/data/86312/000008631222000013/0000086312-22-000013-index.htm</x:v>
      </x:c>
      <x:c r="J97" t="str">
        <x:v>3e42291a1ec9a7e2d27596f4d839cf36f538eeec1d16b3dbf718001c3471c92c</x:v>
      </x:c>
    </x:row>
    <x:row r="98">
      <x:c r="A98" t="n">
        <x:v>2020</x:v>
      </x:c>
      <x:c r="B98" t="str">
        <x:v>interest_expense</x:v>
      </x:c>
      <x:c r="C98" s="1" t="n">
        <x:v>339</x:v>
      </x:c>
      <x:c r="D98" t="str">
        <x:v>disclosed</x:v>
      </x:c>
      <x:c r="E98" t="str">
        <x:v>trv_ar_2022</x:v>
      </x:c>
      <x:c r="F98" t="n">
        <x:v>145</x:v>
      </x:c>
      <x:c r="G98" t="str">
        <x:v>2023-02-16</x:v>
      </x:c>
      <x:c r="H98" t="str">
        <x:v>https://s26.q4cdn.com/410417801/files/doc_financials/2022/ar/B/Travelers-2022-Annual-Report-pdf.pdf</x:v>
      </x:c>
      <x:c r="I98" t="str">
        <x:v>https://www.sec.gov/Archives/edgar/data/86312/000008631223000011/0000086312-23-000011-index.htm</x:v>
      </x:c>
      <x:c r="J98" t="str">
        <x:v>294fc17bdf196969c710ce679ef9470ca87e3d059b50f898fe487e5c68dd107d</x:v>
      </x:c>
    </x:row>
    <x:row r="99">
      <x:c r="A99" t="n">
        <x:v>2020</x:v>
      </x:c>
      <x:c r="B99" t="str">
        <x:v>investment_income</x:v>
      </x:c>
      <x:c r="C99" s="1" t="n">
        <x:v>2227</x:v>
      </x:c>
      <x:c r="D99" t="str">
        <x:v>disclosed</x:v>
      </x:c>
      <x:c r="E99" t="str">
        <x:v>trv_ar_2022</x:v>
      </x:c>
      <x:c r="F99" t="n">
        <x:v>145</x:v>
      </x:c>
      <x:c r="G99" t="str">
        <x:v>2023-02-16</x:v>
      </x:c>
      <x:c r="H99" t="str">
        <x:v>https://s26.q4cdn.com/410417801/files/doc_financials/2022/ar/B/Travelers-2022-Annual-Report-pdf.pdf</x:v>
      </x:c>
      <x:c r="I99" t="str">
        <x:v>https://www.sec.gov/Archives/edgar/data/86312/000008631223000011/0000086312-23-000011-index.htm</x:v>
      </x:c>
      <x:c r="J99" t="str">
        <x:v>294fc17bdf196969c710ce679ef9470ca87e3d059b50f898fe487e5c68dd107d</x:v>
      </x:c>
    </x:row>
    <x:row r="100">
      <x:c r="A100" t="n">
        <x:v>2020</x:v>
      </x:c>
      <x:c r="B100" t="str">
        <x:v>nep</x:v>
      </x:c>
      <x:c r="C100" s="1" t="n">
        <x:v>29044</x:v>
      </x:c>
      <x:c r="D100" t="str">
        <x:v>disclosed</x:v>
      </x:c>
      <x:c r="E100" t="str">
        <x:v>trv_ar_2022</x:v>
      </x:c>
      <x:c r="F100" t="n">
        <x:v>179</x:v>
      </x:c>
      <x:c r="G100" t="str">
        <x:v>2023-02-16</x:v>
      </x:c>
      <x:c r="H100" t="str">
        <x:v>https://s26.q4cdn.com/410417801/files/doc_financials/2022/ar/B/Travelers-2022-Annual-Report-pdf.pdf</x:v>
      </x:c>
      <x:c r="I100" t="str">
        <x:v>https://www.sec.gov/Archives/edgar/data/86312/000008631223000011/0000086312-23-000011-index.htm</x:v>
      </x:c>
      <x:c r="J100" t="str">
        <x:v>294fc17bdf196969c710ce679ef9470ca87e3d059b50f898fe487e5c68dd107d</x:v>
      </x:c>
    </x:row>
    <x:row r="101">
      <x:c r="A101" t="n">
        <x:v>2020</x:v>
      </x:c>
      <x:c r="B101" t="str">
        <x:v>net_income</x:v>
      </x:c>
      <x:c r="C101" s="1" t="n">
        <x:v>2697</x:v>
      </x:c>
      <x:c r="D101" t="str">
        <x:v>disclosed</x:v>
      </x:c>
      <x:c r="E101" t="str">
        <x:v>trv_ar_2022</x:v>
      </x:c>
      <x:c r="F101" t="n">
        <x:v>145</x:v>
      </x:c>
      <x:c r="G101" t="str">
        <x:v>2023-02-16</x:v>
      </x:c>
      <x:c r="H101" t="str">
        <x:v>https://s26.q4cdn.com/410417801/files/doc_financials/2022/ar/B/Travelers-2022-Annual-Report-pdf.pdf</x:v>
      </x:c>
      <x:c r="I101" t="str">
        <x:v>https://www.sec.gov/Archives/edgar/data/86312/000008631223000011/0000086312-23-000011-index.htm</x:v>
      </x:c>
      <x:c r="J101" t="str">
        <x:v>294fc17bdf196969c710ce679ef9470ca87e3d059b50f898fe487e5c68dd107d</x:v>
      </x:c>
    </x:row>
    <x:row r="102">
      <x:c r="A102" t="n">
        <x:v>2020</x:v>
      </x:c>
      <x:c r="B102" t="str">
        <x:v>net_reserves</x:v>
      </x:c>
      <x:c r="C102" s="1" t="n">
        <x:v>46357</x:v>
      </x:c>
      <x:c r="D102" t="str">
        <x:v>disclosed</x:v>
      </x:c>
      <x:c r="E102" t="str">
        <x:v>trv_ar_2021</x:v>
      </x:c>
      <x:c r="F102" t="n">
        <x:v>182</x:v>
      </x:c>
      <x:c r="G102" t="str">
        <x:v>2022-02-17</x:v>
      </x:c>
      <x:c r="H102" t="str">
        <x:v>https://s26.q4cdn.com/410417801/files/doc_financials/2021/ar/Travelers-2021-Annual-Report.pdf</x:v>
      </x:c>
      <x:c r="I102" t="str">
        <x:v>https://www.sec.gov/Archives/edgar/data/86312/000008631222000013/0000086312-22-000013-index.htm</x:v>
      </x:c>
      <x:c r="J102" t="str">
        <x:v>3e42291a1ec9a7e2d27596f4d839cf36f538eeec1d16b3dbf718001c3471c92c</x:v>
      </x:c>
    </x:row>
    <x:row r="103">
      <x:c r="A103" t="n">
        <x:v>2020</x:v>
      </x:c>
      <x:c r="B103" t="str">
        <x:v>net_upr</x:v>
      </x:c>
      <x:c r="C103" s="1" t="n">
        <x:v>14450</x:v>
      </x:c>
      <x:c r="D103" t="str">
        <x:v>derived</x:v>
      </x:c>
      <x:c r="E103" t="str">
        <x:v>trv_ar_2020</x:v>
      </x:c>
      <x:c r="F103" t="n">
        <x:v>148</x:v>
      </x:c>
      <x:c r="G103" t="str">
        <x:v>2021-02-11</x:v>
      </x:c>
      <x:c r="H103" t="str">
        <x:v>https://s26.q4cdn.com/410417801/files/doc_financials/2020/ar/Travelers-2020-Annual-Report.pdf</x:v>
      </x:c>
      <x:c r="I103" t="str">
        <x:v>https://www.sec.gov/Archives/edgar/data/86312/000008631221000011/0000086312-21-000011-index.htm</x:v>
      </x:c>
      <x:c r="J103" t="str">
        <x:v>b0f912a2cacdacdaf296ae6888a862202aac27a8ad30009896d0de4b42358a88</x:v>
      </x:c>
    </x:row>
    <x:row r="104">
      <x:c r="A104" t="n">
        <x:v>2020</x:v>
      </x:c>
      <x:c r="B104" t="str">
        <x:v>nwp</x:v>
      </x:c>
      <x:c r="C104" s="1" t="n">
        <x:v>29732</x:v>
      </x:c>
      <x:c r="D104" t="str">
        <x:v>disclosed</x:v>
      </x:c>
      <x:c r="E104" t="str">
        <x:v>trv_ar_2022</x:v>
      </x:c>
      <x:c r="F104" t="n">
        <x:v>179</x:v>
      </x:c>
      <x:c r="G104" t="str">
        <x:v>2023-02-16</x:v>
      </x:c>
      <x:c r="H104" t="str">
        <x:v>https://s26.q4cdn.com/410417801/files/doc_financials/2022/ar/B/Travelers-2022-Annual-Report-pdf.pdf</x:v>
      </x:c>
      <x:c r="I104" t="str">
        <x:v>https://www.sec.gov/Archives/edgar/data/86312/000008631223000011/0000086312-23-000011-index.htm</x:v>
      </x:c>
      <x:c r="J104" t="str">
        <x:v>294fc17bdf196969c710ce679ef9470ca87e3d059b50f898fe487e5c68dd107d</x:v>
      </x:c>
    </x:row>
    <x:row r="105">
      <x:c r="A105" t="n">
        <x:v>2020</x:v>
      </x:c>
      <x:c r="B105" t="str">
        <x:v>opening_equity</x:v>
      </x:c>
      <x:c r="C105" s="1" t="n">
        <x:v>25943</x:v>
      </x:c>
      <x:c r="D105" t="str">
        <x:v>derived</x:v>
      </x:c>
      <x:c r="E105" t="str">
        <x:v>trv_ar_2022</x:v>
      </x:c>
      <x:c r="F105" t="n">
        <x:v>148</x:v>
      </x:c>
      <x:c r="G105" t="str">
        <x:v>2023-02-16</x:v>
      </x:c>
      <x:c r="H105" t="str">
        <x:v>https://s26.q4cdn.com/410417801/files/doc_financials/2022/ar/B/Travelers-2022-Annual-Report-pdf.pdf</x:v>
      </x:c>
      <x:c r="I105" t="str">
        <x:v>https://www.sec.gov/Archives/edgar/data/86312/000008631223000011/0000086312-23-000011-index.htm</x:v>
      </x:c>
      <x:c r="J105" t="str">
        <x:v>294fc17bdf196969c710ce679ef9470ca87e3d059b50f898fe487e5c68dd107d</x:v>
      </x:c>
    </x:row>
    <x:row r="106">
      <x:c r="A106" t="n">
        <x:v>2020</x:v>
      </x:c>
      <x:c r="B106" t="str">
        <x:v>other_assets</x:v>
      </x:c>
      <x:c r="C106" s="1" t="n">
        <x:v>3173</x:v>
      </x:c>
      <x:c r="D106" t="str">
        <x:v>disclosed</x:v>
      </x:c>
      <x:c r="E106" t="str">
        <x:v>trv_ar_2021</x:v>
      </x:c>
      <x:c r="F106" t="n">
        <x:v>146</x:v>
      </x:c>
      <x:c r="G106" t="str">
        <x:v>2022-02-17</x:v>
      </x:c>
      <x:c r="H106" t="str">
        <x:v>https://s26.q4cdn.com/410417801/files/doc_financials/2021/ar/Travelers-2021-Annual-Report.pdf</x:v>
      </x:c>
      <x:c r="I106" t="str">
        <x:v>https://www.sec.gov/Archives/edgar/data/86312/000008631222000013/0000086312-22-000013-index.htm</x:v>
      </x:c>
      <x:c r="J106" t="str">
        <x:v>3e42291a1ec9a7e2d27596f4d839cf36f538eeec1d16b3dbf718001c3471c92c</x:v>
      </x:c>
    </x:row>
    <x:row r="107">
      <x:c r="A107" t="n">
        <x:v>2020</x:v>
      </x:c>
      <x:c r="B107" t="str">
        <x:v>other_investment_purchases</x:v>
      </x:c>
      <x:c r="C107" s="1" t="n">
        <x:v>472</x:v>
      </x:c>
      <x:c r="D107" t="str">
        <x:v>disclosed</x:v>
      </x:c>
      <x:c r="E107" t="str">
        <x:v>trv_ar_2022</x:v>
      </x:c>
      <x:c r="F107" t="n">
        <x:v>149</x:v>
      </x:c>
      <x:c r="G107" t="str">
        <x:v>2023-02-16</x:v>
      </x:c>
      <x:c r="H107" t="str">
        <x:v>https://s26.q4cdn.com/410417801/files/doc_financials/2022/ar/B/Travelers-2022-Annual-Report-pdf.pdf</x:v>
      </x:c>
      <x:c r="I107" t="str">
        <x:v>https://www.sec.gov/Archives/edgar/data/86312/000008631223000011/0000086312-23-000011-index.htm</x:v>
      </x:c>
      <x:c r="J107" t="str">
        <x:v>294fc17bdf196969c710ce679ef9470ca87e3d059b50f898fe487e5c68dd107d</x:v>
      </x:c>
    </x:row>
    <x:row r="108">
      <x:c r="A108" t="n">
        <x:v>2020</x:v>
      </x:c>
      <x:c r="B108" t="str">
        <x:v>other_investment_sale_proceeds</x:v>
      </x:c>
      <x:c r="C108" s="1" t="n">
        <x:v>276</x:v>
      </x:c>
      <x:c r="D108" t="str">
        <x:v>disclosed</x:v>
      </x:c>
      <x:c r="E108" t="str">
        <x:v>trv_ar_2022</x:v>
      </x:c>
      <x:c r="F108" t="n">
        <x:v>149</x:v>
      </x:c>
      <x:c r="G108" t="str">
        <x:v>2023-02-16</x:v>
      </x:c>
      <x:c r="H108" t="str">
        <x:v>https://s26.q4cdn.com/410417801/files/doc_financials/2022/ar/B/Travelers-2022-Annual-Report-pdf.pdf</x:v>
      </x:c>
      <x:c r="I108" t="str">
        <x:v>https://www.sec.gov/Archives/edgar/data/86312/000008631223000011/0000086312-23-000011-index.htm</x:v>
      </x:c>
      <x:c r="J108" t="str">
        <x:v>294fc17bdf196969c710ce679ef9470ca87e3d059b50f898fe487e5c68dd107d</x:v>
      </x:c>
    </x:row>
    <x:row r="109">
      <x:c r="A109" t="n">
        <x:v>2020</x:v>
      </x:c>
      <x:c r="B109" t="str">
        <x:v>other_investments</x:v>
      </x:c>
      <x:c r="C109" s="1" t="n">
        <x:v>3399</x:v>
      </x:c>
      <x:c r="D109" t="str">
        <x:v>disclosed</x:v>
      </x:c>
      <x:c r="E109" t="str">
        <x:v>trv_ar_2021</x:v>
      </x:c>
      <x:c r="F109" t="n">
        <x:v>146</x:v>
      </x:c>
      <x:c r="G109" t="str">
        <x:v>2022-02-17</x:v>
      </x:c>
      <x:c r="H109" t="str">
        <x:v>https://s26.q4cdn.com/410417801/files/doc_financials/2021/ar/Travelers-2021-Annual-Report.pdf</x:v>
      </x:c>
      <x:c r="I109" t="str">
        <x:v>https://www.sec.gov/Archives/edgar/data/86312/000008631222000013/0000086312-22-000013-index.htm</x:v>
      </x:c>
      <x:c r="J109" t="str">
        <x:v>3e42291a1ec9a7e2d27596f4d839cf36f538eeec1d16b3dbf718001c3471c92c</x:v>
      </x:c>
    </x:row>
    <x:row r="110">
      <x:c r="A110" t="n">
        <x:v>2020</x:v>
      </x:c>
      <x:c r="B110" t="str">
        <x:v>other_liabilities</x:v>
      </x:c>
      <x:c r="C110" s="1" t="n">
        <x:v>6095</x:v>
      </x:c>
      <x:c r="D110" t="str">
        <x:v>disclosed</x:v>
      </x:c>
      <x:c r="E110" t="str">
        <x:v>trv_ar_2021</x:v>
      </x:c>
      <x:c r="F110" t="n">
        <x:v>146</x:v>
      </x:c>
      <x:c r="G110" t="str">
        <x:v>2022-02-17</x:v>
      </x:c>
      <x:c r="H110" t="str">
        <x:v>https://s26.q4cdn.com/410417801/files/doc_financials/2021/ar/Travelers-2021-Annual-Report.pdf</x:v>
      </x:c>
      <x:c r="I110" t="str">
        <x:v>https://www.sec.gov/Archives/edgar/data/86312/000008631222000013/0000086312-22-000013-index.htm</x:v>
      </x:c>
      <x:c r="J110" t="str">
        <x:v>3e42291a1ec9a7e2d27596f4d839cf36f538eeec1d16b3dbf718001c3471c92c</x:v>
      </x:c>
    </x:row>
    <x:row r="111">
      <x:c r="A111" t="n">
        <x:v>2020</x:v>
      </x:c>
      <x:c r="B111" t="str">
        <x:v>other_revenue</x:v>
      </x:c>
      <x:c r="C111" s="1" t="n">
        <x:v>279</x:v>
      </x:c>
      <x:c r="D111" t="str">
        <x:v>disclosed</x:v>
      </x:c>
      <x:c r="E111" t="str">
        <x:v>trv_ar_2022</x:v>
      </x:c>
      <x:c r="F111" t="n">
        <x:v>145</x:v>
      </x:c>
      <x:c r="G111" t="str">
        <x:v>2023-02-16</x:v>
      </x:c>
      <x:c r="H111" t="str">
        <x:v>https://s26.q4cdn.com/410417801/files/doc_financials/2022/ar/B/Travelers-2022-Annual-Report-pdf.pdf</x:v>
      </x:c>
      <x:c r="I111" t="str">
        <x:v>https://www.sec.gov/Archives/edgar/data/86312/000008631223000011/0000086312-23-000011-index.htm</x:v>
      </x:c>
      <x:c r="J111" t="str">
        <x:v>294fc17bdf196969c710ce679ef9470ca87e3d059b50f898fe487e5c68dd107d</x:v>
      </x:c>
    </x:row>
    <x:row r="112">
      <x:c r="A112" t="n">
        <x:v>2020</x:v>
      </x:c>
      <x:c r="B112" t="str">
        <x:v>paid_current</x:v>
      </x:c>
      <x:c r="C112" s="1" t="n">
        <x:v>7497</x:v>
      </x:c>
      <x:c r="D112" t="str">
        <x:v>disclosed</x:v>
      </x:c>
      <x:c r="E112" t="str">
        <x:v>trv_ar_2021</x:v>
      </x:c>
      <x:c r="F112" t="n">
        <x:v>182</x:v>
      </x:c>
      <x:c r="G112" t="str">
        <x:v>2022-02-17</x:v>
      </x:c>
      <x:c r="H112" t="str">
        <x:v>https://s26.q4cdn.com/410417801/files/doc_financials/2021/ar/Travelers-2021-Annual-Report.pdf</x:v>
      </x:c>
      <x:c r="I112" t="str">
        <x:v>https://www.sec.gov/Archives/edgar/data/86312/000008631222000013/0000086312-22-000013-index.htm</x:v>
      </x:c>
      <x:c r="J112" t="str">
        <x:v>3e42291a1ec9a7e2d27596f4d839cf36f538eeec1d16b3dbf718001c3471c92c</x:v>
      </x:c>
    </x:row>
    <x:row r="113">
      <x:c r="A113" t="n">
        <x:v>2020</x:v>
      </x:c>
      <x:c r="B113" t="str">
        <x:v>paid_prior</x:v>
      </x:c>
      <x:c r="C113" s="1" t="n">
        <x:v>9092</x:v>
      </x:c>
      <x:c r="D113" t="str">
        <x:v>disclosed</x:v>
      </x:c>
      <x:c r="E113" t="str">
        <x:v>trv_ar_2021</x:v>
      </x:c>
      <x:c r="F113" t="n">
        <x:v>182</x:v>
      </x:c>
      <x:c r="G113" t="str">
        <x:v>2022-02-17</x:v>
      </x:c>
      <x:c r="H113" t="str">
        <x:v>https://s26.q4cdn.com/410417801/files/doc_financials/2021/ar/Travelers-2021-Annual-Report.pdf</x:v>
      </x:c>
      <x:c r="I113" t="str">
        <x:v>https://www.sec.gov/Archives/edgar/data/86312/000008631222000013/0000086312-22-000013-index.htm</x:v>
      </x:c>
      <x:c r="J113" t="str">
        <x:v>3e42291a1ec9a7e2d27596f4d839cf36f538eeec1d16b3dbf718001c3471c92c</x:v>
      </x:c>
    </x:row>
    <x:row r="114">
      <x:c r="A114" t="n">
        <x:v>2020</x:v>
      </x:c>
      <x:c r="B114" t="str">
        <x:v>premium_receivables</x:v>
      </x:c>
      <x:c r="C114" s="1" t="n">
        <x:v>7829</x:v>
      </x:c>
      <x:c r="D114" t="str">
        <x:v>disclosed</x:v>
      </x:c>
      <x:c r="E114" t="str">
        <x:v>trv_ar_2021</x:v>
      </x:c>
      <x:c r="F114" t="n">
        <x:v>146</x:v>
      </x:c>
      <x:c r="G114" t="str">
        <x:v>2022-02-17</x:v>
      </x:c>
      <x:c r="H114" t="str">
        <x:v>https://s26.q4cdn.com/410417801/files/doc_financials/2021/ar/Travelers-2021-Annual-Report.pdf</x:v>
      </x:c>
      <x:c r="I114" t="str">
        <x:v>https://www.sec.gov/Archives/edgar/data/86312/000008631222000013/0000086312-22-000013-index.htm</x:v>
      </x:c>
      <x:c r="J114" t="str">
        <x:v>3e42291a1ec9a7e2d27596f4d839cf36f538eeec1d16b3dbf718001c3471c92c</x:v>
      </x:c>
    </x:row>
    <x:row r="115">
      <x:c r="A115" t="n">
        <x:v>2020</x:v>
      </x:c>
      <x:c r="B115" t="str">
        <x:v>pretax_income</x:v>
      </x:c>
      <x:c r="C115" s="1" t="n">
        <x:v>3237</x:v>
      </x:c>
      <x:c r="D115" t="str">
        <x:v>disclosed</x:v>
      </x:c>
      <x:c r="E115" t="str">
        <x:v>trv_ar_2022</x:v>
      </x:c>
      <x:c r="F115" t="n">
        <x:v>145</x:v>
      </x:c>
      <x:c r="G115" t="str">
        <x:v>2023-02-16</x:v>
      </x:c>
      <x:c r="H115" t="str">
        <x:v>https://s26.q4cdn.com/410417801/files/doc_financials/2022/ar/B/Travelers-2022-Annual-Report-pdf.pdf</x:v>
      </x:c>
      <x:c r="I115" t="str">
        <x:v>https://www.sec.gov/Archives/edgar/data/86312/000008631223000011/0000086312-23-000011-index.htm</x:v>
      </x:c>
      <x:c r="J115" t="str">
        <x:v>294fc17bdf196969c710ce679ef9470ca87e3d059b50f898fe487e5c68dd107d</x:v>
      </x:c>
    </x:row>
    <x:row r="116">
      <x:c r="A116" t="n">
        <x:v>2020</x:v>
      </x:c>
      <x:c r="B116" t="str">
        <x:v>real_estate_investments</x:v>
      </x:c>
      <x:c r="C116" s="1" t="n">
        <x:v>1026</x:v>
      </x:c>
      <x:c r="D116" t="str">
        <x:v>disclosed</x:v>
      </x:c>
      <x:c r="E116" t="str">
        <x:v>trv_ar_2021</x:v>
      </x:c>
      <x:c r="F116" t="n">
        <x:v>146</x:v>
      </x:c>
      <x:c r="G116" t="str">
        <x:v>2022-02-17</x:v>
      </x:c>
      <x:c r="H116" t="str">
        <x:v>https://s26.q4cdn.com/410417801/files/doc_financials/2021/ar/Travelers-2021-Annual-Report.pdf</x:v>
      </x:c>
      <x:c r="I116" t="str">
        <x:v>https://www.sec.gov/Archives/edgar/data/86312/000008631222000013/0000086312-22-000013-index.htm</x:v>
      </x:c>
      <x:c r="J116" t="str">
        <x:v>3e42291a1ec9a7e2d27596f4d839cf36f538eeec1d16b3dbf718001c3471c92c</x:v>
      </x:c>
    </x:row>
    <x:row r="117">
      <x:c r="A117" t="n">
        <x:v>2020</x:v>
      </x:c>
      <x:c r="B117" t="str">
        <x:v>real_estate_purchases</x:v>
      </x:c>
      <x:c r="C117" s="1" t="n">
        <x:v>113</x:v>
      </x:c>
      <x:c r="D117" t="str">
        <x:v>disclosed</x:v>
      </x:c>
      <x:c r="E117" t="str">
        <x:v>trv_ar_2022</x:v>
      </x:c>
      <x:c r="F117" t="n">
        <x:v>149</x:v>
      </x:c>
      <x:c r="G117" t="str">
        <x:v>2023-02-16</x:v>
      </x:c>
      <x:c r="H117" t="str">
        <x:v>https://s26.q4cdn.com/410417801/files/doc_financials/2022/ar/B/Travelers-2022-Annual-Report-pdf.pdf</x:v>
      </x:c>
      <x:c r="I117" t="str">
        <x:v>https://www.sec.gov/Archives/edgar/data/86312/000008631223000011/0000086312-23-000011-index.htm</x:v>
      </x:c>
      <x:c r="J117" t="str">
        <x:v>294fc17bdf196969c710ce679ef9470ca87e3d059b50f898fe487e5c68dd107d</x:v>
      </x:c>
    </x:row>
    <x:row r="118">
      <x:c r="A118" t="n">
        <x:v>2020</x:v>
      </x:c>
      <x:c r="B118" t="str">
        <x:v>real_estate_sale_proceeds</x:v>
      </x:c>
      <x:c r="C118" s="1" t="n">
        <x:v>0</x:v>
      </x:c>
      <x:c r="D118" t="str">
        <x:v>disclosed</x:v>
      </x:c>
      <x:c r="E118" t="str">
        <x:v>trv_ar_2022</x:v>
      </x:c>
      <x:c r="F118" t="n">
        <x:v>149</x:v>
      </x:c>
      <x:c r="G118" t="str">
        <x:v>2023-02-16</x:v>
      </x:c>
      <x:c r="H118" t="str">
        <x:v>https://s26.q4cdn.com/410417801/files/doc_financials/2022/ar/B/Travelers-2022-Annual-Report-pdf.pdf</x:v>
      </x:c>
      <x:c r="I118" t="str">
        <x:v>https://www.sec.gov/Archives/edgar/data/86312/000008631223000011/0000086312-23-000011-index.htm</x:v>
      </x:c>
      <x:c r="J118" t="str">
        <x:v>294fc17bdf196969c710ce679ef9470ca87e3d059b50f898fe487e5c68dd107d</x:v>
      </x:c>
    </x:row>
    <x:row r="119">
      <x:c r="A119" t="n">
        <x:v>2020</x:v>
      </x:c>
      <x:c r="B119" t="str">
        <x:v>realized_gains</x:v>
      </x:c>
      <x:c r="C119" s="1" t="n">
        <x:v>2</x:v>
      </x:c>
      <x:c r="D119" t="str">
        <x:v>disclosed</x:v>
      </x:c>
      <x:c r="E119" t="str">
        <x:v>trv_ar_2022</x:v>
      </x:c>
      <x:c r="F119" t="n">
        <x:v>145</x:v>
      </x:c>
      <x:c r="G119" t="str">
        <x:v>2023-02-16</x:v>
      </x:c>
      <x:c r="H119" t="str">
        <x:v>https://s26.q4cdn.com/410417801/files/doc_financials/2022/ar/B/Travelers-2022-Annual-Report-pdf.pdf</x:v>
      </x:c>
      <x:c r="I119" t="str">
        <x:v>https://www.sec.gov/Archives/edgar/data/86312/000008631223000011/0000086312-23-000011-index.htm</x:v>
      </x:c>
      <x:c r="J119" t="str">
        <x:v>294fc17bdf196969c710ce679ef9470ca87e3d059b50f898fe487e5c68dd107d</x:v>
      </x:c>
    </x:row>
    <x:row r="120">
      <x:c r="A120" t="n">
        <x:v>2020</x:v>
      </x:c>
      <x:c r="B120" t="str">
        <x:v>reinsurance_premium_payables</x:v>
      </x:c>
      <x:c r="C120" s="1" t="n">
        <x:v>356</x:v>
      </x:c>
      <x:c r="D120" t="str">
        <x:v>disclosed</x:v>
      </x:c>
      <x:c r="E120" t="str">
        <x:v>trv_ar_2021</x:v>
      </x:c>
      <x:c r="F120" t="n">
        <x:v>146</x:v>
      </x:c>
      <x:c r="G120" t="str">
        <x:v>2022-02-17</x:v>
      </x:c>
      <x:c r="H120" t="str">
        <x:v>https://s26.q4cdn.com/410417801/files/doc_financials/2021/ar/Travelers-2021-Annual-Report.pdf</x:v>
      </x:c>
      <x:c r="I120" t="str">
        <x:v>https://www.sec.gov/Archives/edgar/data/86312/000008631222000013/0000086312-22-000013-index.htm</x:v>
      </x:c>
      <x:c r="J120" t="str">
        <x:v>3e42291a1ec9a7e2d27596f4d839cf36f538eeec1d16b3dbf718001c3471c92c</x:v>
      </x:c>
    </x:row>
    <x:row r="121">
      <x:c r="A121" t="n">
        <x:v>2020</x:v>
      </x:c>
      <x:c r="B121" t="str">
        <x:v>reported_opening_net_after_adoption</x:v>
      </x:c>
      <x:c r="C121" s="1" t="n">
        <x:v>43854</x:v>
      </x:c>
      <x:c r="D121" t="str">
        <x:v>disclosed</x:v>
      </x:c>
      <x:c r="E121" t="str">
        <x:v>trv_ar_2021</x:v>
      </x:c>
      <x:c r="F121" t="n">
        <x:v>182</x:v>
      </x:c>
      <x:c r="G121" t="str">
        <x:v>2022-02-17</x:v>
      </x:c>
      <x:c r="H121" t="str">
        <x:v>https://s26.q4cdn.com/410417801/files/doc_financials/2021/ar/Travelers-2021-Annual-Report.pdf</x:v>
      </x:c>
      <x:c r="I121" t="str">
        <x:v>https://www.sec.gov/Archives/edgar/data/86312/000008631222000013/0000086312-22-000013-index.htm</x:v>
      </x:c>
      <x:c r="J121" t="str">
        <x:v>3e42291a1ec9a7e2d27596f4d839cf36f538eeec1d16b3dbf718001c3471c92c</x:v>
      </x:c>
    </x:row>
    <x:row r="122">
      <x:c r="A122" t="n">
        <x:v>2020</x:v>
      </x:c>
      <x:c r="B122" t="str">
        <x:v>reported_total_incurred</x:v>
      </x:c>
      <x:c r="C122" s="1" t="n">
        <x:v>19018</x:v>
      </x:c>
      <x:c r="D122" t="str">
        <x:v>disclosed</x:v>
      </x:c>
      <x:c r="E122" t="str">
        <x:v>trv_ar_2021</x:v>
      </x:c>
      <x:c r="F122" t="n">
        <x:v>182</x:v>
      </x:c>
      <x:c r="G122" t="str">
        <x:v>2022-02-17</x:v>
      </x:c>
      <x:c r="H122" t="str">
        <x:v>https://s26.q4cdn.com/410417801/files/doc_financials/2021/ar/Travelers-2021-Annual-Report.pdf</x:v>
      </x:c>
      <x:c r="I122" t="str">
        <x:v>https://www.sec.gov/Archives/edgar/data/86312/000008631222000013/0000086312-22-000013-index.htm</x:v>
      </x:c>
      <x:c r="J122" t="str">
        <x:v>3e42291a1ec9a7e2d27596f4d839cf36f538eeec1d16b3dbf718001c3471c92c</x:v>
      </x:c>
    </x:row>
    <x:row r="123">
      <x:c r="A123" t="n">
        <x:v>2020</x:v>
      </x:c>
      <x:c r="B123" t="str">
        <x:v>reported_total_paid</x:v>
      </x:c>
      <x:c r="C123" s="1" t="n">
        <x:v>16589</x:v>
      </x:c>
      <x:c r="D123" t="str">
        <x:v>disclosed</x:v>
      </x:c>
      <x:c r="E123" t="str">
        <x:v>trv_ar_2021</x:v>
      </x:c>
      <x:c r="F123" t="n">
        <x:v>182</x:v>
      </x:c>
      <x:c r="G123" t="str">
        <x:v>2022-02-17</x:v>
      </x:c>
      <x:c r="H123" t="str">
        <x:v>https://s26.q4cdn.com/410417801/files/doc_financials/2021/ar/Travelers-2021-Annual-Report.pdf</x:v>
      </x:c>
      <x:c r="I123" t="str">
        <x:v>https://www.sec.gov/Archives/edgar/data/86312/000008631222000013/0000086312-22-000013-index.htm</x:v>
      </x:c>
      <x:c r="J123" t="str">
        <x:v>3e42291a1ec9a7e2d27596f4d839cf36f538eeec1d16b3dbf718001c3471c92c</x:v>
      </x:c>
    </x:row>
    <x:row r="124">
      <x:c r="A124" t="n">
        <x:v>2020</x:v>
      </x:c>
      <x:c r="B124" t="str">
        <x:v>reserve_fx_other</x:v>
      </x:c>
      <x:c r="C124" s="1" t="n">
        <x:v>74</x:v>
      </x:c>
      <x:c r="D124" t="str">
        <x:v>disclosed</x:v>
      </x:c>
      <x:c r="E124" t="str">
        <x:v>trv_ar_2021</x:v>
      </x:c>
      <x:c r="F124" t="n">
        <x:v>182</x:v>
      </x:c>
      <x:c r="G124" t="str">
        <x:v>2022-02-17</x:v>
      </x:c>
      <x:c r="H124" t="str">
        <x:v>https://s26.q4cdn.com/410417801/files/doc_financials/2021/ar/Travelers-2021-Annual-Report.pdf</x:v>
      </x:c>
      <x:c r="I124" t="str">
        <x:v>https://www.sec.gov/Archives/edgar/data/86312/000008631222000013/0000086312-22-000013-index.htm</x:v>
      </x:c>
      <x:c r="J124" t="str">
        <x:v>3e42291a1ec9a7e2d27596f4d839cf36f538eeec1d16b3dbf718001c3471c92c</x:v>
      </x:c>
    </x:row>
    <x:row r="125">
      <x:c r="A125" t="n">
        <x:v>2020</x:v>
      </x:c>
      <x:c r="B125" t="str">
        <x:v>reserve_prior_incurred</x:v>
      </x:c>
      <x:c r="C125" s="1" t="n">
        <x:v>-267</x:v>
      </x:c>
      <x:c r="D125" t="str">
        <x:v>disclosed</x:v>
      </x:c>
      <x:c r="E125" t="str">
        <x:v>trv_ar_2021</x:v>
      </x:c>
      <x:c r="F125" t="n">
        <x:v>182</x:v>
      </x:c>
      <x:c r="G125" t="str">
        <x:v>2022-02-17</x:v>
      </x:c>
      <x:c r="H125" t="str">
        <x:v>https://s26.q4cdn.com/410417801/files/doc_financials/2021/ar/Travelers-2021-Annual-Report.pdf</x:v>
      </x:c>
      <x:c r="I125" t="str">
        <x:v>https://www.sec.gov/Archives/edgar/data/86312/000008631222000013/0000086312-22-000013-index.htm</x:v>
      </x:c>
      <x:c r="J125" t="str">
        <x:v>3e42291a1ec9a7e2d27596f4d839cf36f538eeec1d16b3dbf718001c3471c92c</x:v>
      </x:c>
    </x:row>
    <x:row r="126">
      <x:c r="A126" t="n">
        <x:v>2020</x:v>
      </x:c>
      <x:c r="B126" t="str">
        <x:v>reserve_total_incurred</x:v>
      </x:c>
      <x:c r="C126" s="1" t="n">
        <x:v>19018</x:v>
      </x:c>
      <x:c r="D126" t="str">
        <x:v>derived</x:v>
      </x:c>
      <x:c r="E126" t="str">
        <x:v>trv_ar_2021</x:v>
      </x:c>
      <x:c r="F126" t="n">
        <x:v>182</x:v>
      </x:c>
      <x:c r="G126" t="str">
        <x:v>2022-02-17</x:v>
      </x:c>
      <x:c r="H126" t="str">
        <x:v>https://s26.q4cdn.com/410417801/files/doc_financials/2021/ar/Travelers-2021-Annual-Report.pdf</x:v>
      </x:c>
      <x:c r="I126" t="str">
        <x:v>https://www.sec.gov/Archives/edgar/data/86312/000008631222000013/0000086312-22-000013-index.htm</x:v>
      </x:c>
      <x:c r="J126" t="str">
        <x:v>3e42291a1ec9a7e2d27596f4d839cf36f538eeec1d16b3dbf718001c3471c92c</x:v>
      </x:c>
    </x:row>
    <x:row r="127">
      <x:c r="A127" t="n">
        <x:v>2020</x:v>
      </x:c>
      <x:c r="B127" t="str">
        <x:v>retained_earnings</x:v>
      </x:c>
      <x:c r="C127" s="1" t="n">
        <x:v>38771</x:v>
      </x:c>
      <x:c r="D127" t="str">
        <x:v>disclosed</x:v>
      </x:c>
      <x:c r="E127" t="str">
        <x:v>trv_ar_2021</x:v>
      </x:c>
      <x:c r="F127" t="n">
        <x:v>146</x:v>
      </x:c>
      <x:c r="G127" t="str">
        <x:v>2022-02-17</x:v>
      </x:c>
      <x:c r="H127" t="str">
        <x:v>https://s26.q4cdn.com/410417801/files/doc_financials/2021/ar/Travelers-2021-Annual-Report.pdf</x:v>
      </x:c>
      <x:c r="I127" t="str">
        <x:v>https://www.sec.gov/Archives/edgar/data/86312/000008631222000013/0000086312-22-000013-index.htm</x:v>
      </x:c>
      <x:c r="J127" t="str">
        <x:v>3e42291a1ec9a7e2d27596f4d839cf36f538eeec1d16b3dbf718001c3471c92c</x:v>
      </x:c>
    </x:row>
    <x:row r="128">
      <x:c r="A128" t="n">
        <x:v>2020</x:v>
      </x:c>
      <x:c r="B128" t="str">
        <x:v>retained_earnings_other</x:v>
      </x:c>
      <x:c r="C128" s="1" t="n">
        <x:v>4</x:v>
      </x:c>
      <x:c r="D128" t="str">
        <x:v>disclosed</x:v>
      </x:c>
      <x:c r="E128" t="str">
        <x:v>trv_ar_2022</x:v>
      </x:c>
      <x:c r="F128" t="n">
        <x:v>148</x:v>
      </x:c>
      <x:c r="G128" t="str">
        <x:v>2023-02-16</x:v>
      </x:c>
      <x:c r="H128" t="str">
        <x:v>https://s26.q4cdn.com/410417801/files/doc_financials/2022/ar/B/Travelers-2022-Annual-Report-pdf.pdf</x:v>
      </x:c>
      <x:c r="I128" t="str">
        <x:v>https://www.sec.gov/Archives/edgar/data/86312/000008631223000011/0000086312-23-000011-index.htm</x:v>
      </x:c>
      <x:c r="J128" t="str">
        <x:v>294fc17bdf196969c710ce679ef9470ca87e3d059b50f898fe487e5c68dd107d</x:v>
      </x:c>
    </x:row>
    <x:row r="129">
      <x:c r="A129" t="n">
        <x:v>2020</x:v>
      </x:c>
      <x:c r="B129" t="str">
        <x:v>share_buybacks_cash</x:v>
      </x:c>
      <x:c r="C129" s="1" t="n">
        <x:v>625</x:v>
      </x:c>
      <x:c r="D129" t="str">
        <x:v>disclosed</x:v>
      </x:c>
      <x:c r="E129" t="str">
        <x:v>trv_ar_2022</x:v>
      </x:c>
      <x:c r="F129" t="n">
        <x:v>149</x:v>
      </x:c>
      <x:c r="G129" t="str">
        <x:v>2023-02-16</x:v>
      </x:c>
      <x:c r="H129" t="str">
        <x:v>https://s26.q4cdn.com/410417801/files/doc_financials/2022/ar/B/Travelers-2022-Annual-Report-pdf.pdf</x:v>
      </x:c>
      <x:c r="I129" t="str">
        <x:v>https://www.sec.gov/Archives/edgar/data/86312/000008631223000011/0000086312-23-000011-index.htm</x:v>
      </x:c>
      <x:c r="J129" t="str">
        <x:v>294fc17bdf196969c710ce679ef9470ca87e3d059b50f898fe487e5c68dd107d</x:v>
      </x:c>
    </x:row>
    <x:row r="130">
      <x:c r="A130" t="n">
        <x:v>2020</x:v>
      </x:c>
      <x:c r="B130" t="str">
        <x:v>short_term_investments</x:v>
      </x:c>
      <x:c r="C130" s="1" t="n">
        <x:v>5511</x:v>
      </x:c>
      <x:c r="D130" t="str">
        <x:v>disclosed</x:v>
      </x:c>
      <x:c r="E130" t="str">
        <x:v>trv_ar_2021</x:v>
      </x:c>
      <x:c r="F130" t="n">
        <x:v>146</x:v>
      </x:c>
      <x:c r="G130" t="str">
        <x:v>2022-02-17</x:v>
      </x:c>
      <x:c r="H130" t="str">
        <x:v>https://s26.q4cdn.com/410417801/files/doc_financials/2021/ar/Travelers-2021-Annual-Report.pdf</x:v>
      </x:c>
      <x:c r="I130" t="str">
        <x:v>https://www.sec.gov/Archives/edgar/data/86312/000008631222000013/0000086312-22-000013-index.htm</x:v>
      </x:c>
      <x:c r="J130" t="str">
        <x:v>3e42291a1ec9a7e2d27596f4d839cf36f538eeec1d16b3dbf718001c3471c92c</x:v>
      </x:c>
    </x:row>
    <x:row r="131">
      <x:c r="A131" t="n">
        <x:v>2020</x:v>
      </x:c>
      <x:c r="B131" t="str">
        <x:v>short_term_net_sales</x:v>
      </x:c>
      <x:c r="C131" s="1" t="n">
        <x:v>-566</x:v>
      </x:c>
      <x:c r="D131" t="str">
        <x:v>disclosed</x:v>
      </x:c>
      <x:c r="E131" t="str">
        <x:v>trv_ar_2022</x:v>
      </x:c>
      <x:c r="F131" t="n">
        <x:v>149</x:v>
      </x:c>
      <x:c r="G131" t="str">
        <x:v>2023-02-16</x:v>
      </x:c>
      <x:c r="H131" t="str">
        <x:v>https://s26.q4cdn.com/410417801/files/doc_financials/2022/ar/B/Travelers-2022-Annual-Report-pdf.pdf</x:v>
      </x:c>
      <x:c r="I131" t="str">
        <x:v>https://www.sec.gov/Archives/edgar/data/86312/000008631223000011/0000086312-23-000011-index.htm</x:v>
      </x:c>
      <x:c r="J131" t="str">
        <x:v>294fc17bdf196969c710ce679ef9470ca87e3d059b50f898fe487e5c68dd107d</x:v>
      </x:c>
    </x:row>
    <x:row r="132">
      <x:c r="A132" t="n">
        <x:v>2020</x:v>
      </x:c>
      <x:c r="B132" t="str">
        <x:v>stock_comp_and_other_equity</x:v>
      </x:c>
      <x:c r="C132" s="1" t="n">
        <x:v>151</x:v>
      </x:c>
      <x:c r="D132" t="str">
        <x:v>disclosed</x:v>
      </x:c>
      <x:c r="E132" t="str">
        <x:v>trv_ar_2022</x:v>
      </x:c>
      <x:c r="F132" t="n">
        <x:v>148</x:v>
      </x:c>
      <x:c r="G132" t="str">
        <x:v>2023-02-16</x:v>
      </x:c>
      <x:c r="H132" t="str">
        <x:v>https://s26.q4cdn.com/410417801/files/doc_financials/2022/ar/B/Travelers-2022-Annual-Report-pdf.pdf</x:v>
      </x:c>
      <x:c r="I132" t="str">
        <x:v>https://www.sec.gov/Archives/edgar/data/86312/000008631223000011/0000086312-23-000011-index.htm</x:v>
      </x:c>
      <x:c r="J132" t="str">
        <x:v>294fc17bdf196969c710ce679ef9470ca87e3d059b50f898fe487e5c68dd107d</x:v>
      </x:c>
    </x:row>
    <x:row r="133">
      <x:c r="A133" t="n">
        <x:v>2020</x:v>
      </x:c>
      <x:c r="B133" t="str">
        <x:v>tax_expense</x:v>
      </x:c>
      <x:c r="C133" s="1" t="n">
        <x:v>540</x:v>
      </x:c>
      <x:c r="D133" t="str">
        <x:v>disclosed</x:v>
      </x:c>
      <x:c r="E133" t="str">
        <x:v>trv_ar_2022</x:v>
      </x:c>
      <x:c r="F133" t="n">
        <x:v>145</x:v>
      </x:c>
      <x:c r="G133" t="str">
        <x:v>2023-02-16</x:v>
      </x:c>
      <x:c r="H133" t="str">
        <x:v>https://s26.q4cdn.com/410417801/files/doc_financials/2022/ar/B/Travelers-2022-Annual-Report-pdf.pdf</x:v>
      </x:c>
      <x:c r="I133" t="str">
        <x:v>https://www.sec.gov/Archives/edgar/data/86312/000008631223000011/0000086312-23-000011-index.htm</x:v>
      </x:c>
      <x:c r="J133" t="str">
        <x:v>294fc17bdf196969c710ce679ef9470ca87e3d059b50f898fe487e5c68dd107d</x:v>
      </x:c>
    </x:row>
    <x:row r="134">
      <x:c r="A134" t="n">
        <x:v>2020</x:v>
      </x:c>
      <x:c r="B134" t="str">
        <x:v>total_assets</x:v>
      </x:c>
      <x:c r="C134" s="1" t="n">
        <x:v>116764</x:v>
      </x:c>
      <x:c r="D134" t="str">
        <x:v>disclosed</x:v>
      </x:c>
      <x:c r="E134" t="str">
        <x:v>trv_ar_2021</x:v>
      </x:c>
      <x:c r="F134" t="n">
        <x:v>146</x:v>
      </x:c>
      <x:c r="G134" t="str">
        <x:v>2022-02-17</x:v>
      </x:c>
      <x:c r="H134" t="str">
        <x:v>https://s26.q4cdn.com/410417801/files/doc_financials/2021/ar/Travelers-2021-Annual-Report.pdf</x:v>
      </x:c>
      <x:c r="I134" t="str">
        <x:v>https://www.sec.gov/Archives/edgar/data/86312/000008631222000013/0000086312-22-000013-index.htm</x:v>
      </x:c>
      <x:c r="J134" t="str">
        <x:v>3e42291a1ec9a7e2d27596f4d839cf36f538eeec1d16b3dbf718001c3471c92c</x:v>
      </x:c>
    </x:row>
    <x:row r="135">
      <x:c r="A135" t="n">
        <x:v>2020</x:v>
      </x:c>
      <x:c r="B135" t="str">
        <x:v>total_expenses</x:v>
      </x:c>
      <x:c r="C135" s="1" t="n">
        <x:v>28744</x:v>
      </x:c>
      <x:c r="D135" t="str">
        <x:v>disclosed</x:v>
      </x:c>
      <x:c r="E135" t="str">
        <x:v>trv_ar_2022</x:v>
      </x:c>
      <x:c r="F135" t="n">
        <x:v>145</x:v>
      </x:c>
      <x:c r="G135" t="str">
        <x:v>2023-02-16</x:v>
      </x:c>
      <x:c r="H135" t="str">
        <x:v>https://s26.q4cdn.com/410417801/files/doc_financials/2022/ar/B/Travelers-2022-Annual-Report-pdf.pdf</x:v>
      </x:c>
      <x:c r="I135" t="str">
        <x:v>https://www.sec.gov/Archives/edgar/data/86312/000008631223000011/0000086312-23-000011-index.htm</x:v>
      </x:c>
      <x:c r="J135" t="str">
        <x:v>294fc17bdf196969c710ce679ef9470ca87e3d059b50f898fe487e5c68dd107d</x:v>
      </x:c>
    </x:row>
    <x:row r="136">
      <x:c r="A136" t="n">
        <x:v>2020</x:v>
      </x:c>
      <x:c r="B136" t="str">
        <x:v>total_investments</x:v>
      </x:c>
      <x:c r="C136" s="1" t="n">
        <x:v>84423</x:v>
      </x:c>
      <x:c r="D136" t="str">
        <x:v>disclosed</x:v>
      </x:c>
      <x:c r="E136" t="str">
        <x:v>trv_ar_2021</x:v>
      </x:c>
      <x:c r="F136" t="n">
        <x:v>146</x:v>
      </x:c>
      <x:c r="G136" t="str">
        <x:v>2022-02-17</x:v>
      </x:c>
      <x:c r="H136" t="str">
        <x:v>https://s26.q4cdn.com/410417801/files/doc_financials/2021/ar/Travelers-2021-Annual-Report.pdf</x:v>
      </x:c>
      <x:c r="I136" t="str">
        <x:v>https://www.sec.gov/Archives/edgar/data/86312/000008631222000013/0000086312-22-000013-index.htm</x:v>
      </x:c>
      <x:c r="J136" t="str">
        <x:v>3e42291a1ec9a7e2d27596f4d839cf36f538eeec1d16b3dbf718001c3471c92c</x:v>
      </x:c>
    </x:row>
    <x:row r="137">
      <x:c r="A137" t="n">
        <x:v>2020</x:v>
      </x:c>
      <x:c r="B137" t="str">
        <x:v>total_liabilities</x:v>
      </x:c>
      <x:c r="C137" s="1" t="n">
        <x:v>87563</x:v>
      </x:c>
      <x:c r="D137" t="str">
        <x:v>disclosed</x:v>
      </x:c>
      <x:c r="E137" t="str">
        <x:v>trv_ar_2021</x:v>
      </x:c>
      <x:c r="F137" t="n">
        <x:v>146</x:v>
      </x:c>
      <x:c r="G137" t="str">
        <x:v>2022-02-17</x:v>
      </x:c>
      <x:c r="H137" t="str">
        <x:v>https://s26.q4cdn.com/410417801/files/doc_financials/2021/ar/Travelers-2021-Annual-Report.pdf</x:v>
      </x:c>
      <x:c r="I137" t="str">
        <x:v>https://www.sec.gov/Archives/edgar/data/86312/000008631222000013/0000086312-22-000013-index.htm</x:v>
      </x:c>
      <x:c r="J137" t="str">
        <x:v>3e42291a1ec9a7e2d27596f4d839cf36f538eeec1d16b3dbf718001c3471c92c</x:v>
      </x:c>
    </x:row>
    <x:row r="138">
      <x:c r="A138" t="n">
        <x:v>2020</x:v>
      </x:c>
      <x:c r="B138" t="str">
        <x:v>total_oci</x:v>
      </x:c>
      <x:c r="C138" s="1" t="n">
        <x:v>1862</x:v>
      </x:c>
      <x:c r="D138" t="str">
        <x:v>disclosed</x:v>
      </x:c>
      <x:c r="E138" t="str">
        <x:v>trv_ar_2022</x:v>
      </x:c>
      <x:c r="F138" t="n">
        <x:v>148</x:v>
      </x:c>
      <x:c r="G138" t="str">
        <x:v>2023-02-16</x:v>
      </x:c>
      <x:c r="H138" t="str">
        <x:v>https://s26.q4cdn.com/410417801/files/doc_financials/2022/ar/B/Travelers-2022-Annual-Report-pdf.pdf</x:v>
      </x:c>
      <x:c r="I138" t="str">
        <x:v>https://www.sec.gov/Archives/edgar/data/86312/000008631223000011/0000086312-23-000011-index.htm</x:v>
      </x:c>
      <x:c r="J138" t="str">
        <x:v>294fc17bdf196969c710ce679ef9470ca87e3d059b50f898fe487e5c68dd107d</x:v>
      </x:c>
    </x:row>
    <x:row r="139">
      <x:c r="A139" t="n">
        <x:v>2020</x:v>
      </x:c>
      <x:c r="B139" t="str">
        <x:v>total_recoverables</x:v>
      </x:c>
      <x:c r="C139" s="1" t="n">
        <x:v>8350</x:v>
      </x:c>
      <x:c r="D139" t="str">
        <x:v>disclosed</x:v>
      </x:c>
      <x:c r="E139" t="str">
        <x:v>trv_ar_2021</x:v>
      </x:c>
      <x:c r="F139" t="n">
        <x:v>146</x:v>
      </x:c>
      <x:c r="G139" t="str">
        <x:v>2022-02-17</x:v>
      </x:c>
      <x:c r="H139" t="str">
        <x:v>https://s26.q4cdn.com/410417801/files/doc_financials/2021/ar/Travelers-2021-Annual-Report.pdf</x:v>
      </x:c>
      <x:c r="I139" t="str">
        <x:v>https://www.sec.gov/Archives/edgar/data/86312/000008631222000013/0000086312-22-000013-index.htm</x:v>
      </x:c>
      <x:c r="J139" t="str">
        <x:v>3e42291a1ec9a7e2d27596f4d839cf36f538eeec1d16b3dbf718001c3471c92c</x:v>
      </x:c>
    </x:row>
    <x:row r="140">
      <x:c r="A140" t="n">
        <x:v>2020</x:v>
      </x:c>
      <x:c r="B140" t="str">
        <x:v>total_revenue</x:v>
      </x:c>
      <x:c r="C140" s="1" t="n">
        <x:v>31981</x:v>
      </x:c>
      <x:c r="D140" t="str">
        <x:v>disclosed</x:v>
      </x:c>
      <x:c r="E140" t="str">
        <x:v>trv_ar_2022</x:v>
      </x:c>
      <x:c r="F140" t="n">
        <x:v>145</x:v>
      </x:c>
      <x:c r="G140" t="str">
        <x:v>2023-02-16</x:v>
      </x:c>
      <x:c r="H140" t="str">
        <x:v>https://s26.q4cdn.com/410417801/files/doc_financials/2022/ar/B/Travelers-2022-Annual-Report-pdf.pdf</x:v>
      </x:c>
      <x:c r="I140" t="str">
        <x:v>https://www.sec.gov/Archives/edgar/data/86312/000008631223000011/0000086312-23-000011-index.htm</x:v>
      </x:c>
      <x:c r="J140" t="str">
        <x:v>294fc17bdf196969c710ce679ef9470ca87e3d059b50f898fe487e5c68dd107d</x:v>
      </x:c>
    </x:row>
    <x:row r="141">
      <x:c r="A141" t="n">
        <x:v>2020</x:v>
      </x:c>
      <x:c r="B141" t="str">
        <x:v>treasury_stock</x:v>
      </x:c>
      <x:c r="C141" s="1" t="n">
        <x:v>-35815</x:v>
      </x:c>
      <x:c r="D141" t="str">
        <x:v>disclosed</x:v>
      </x:c>
      <x:c r="E141" t="str">
        <x:v>trv_ar_2021</x:v>
      </x:c>
      <x:c r="F141" t="n">
        <x:v>146</x:v>
      </x:c>
      <x:c r="G141" t="str">
        <x:v>2022-02-17</x:v>
      </x:c>
      <x:c r="H141" t="str">
        <x:v>https://s26.q4cdn.com/410417801/files/doc_financials/2021/ar/Travelers-2021-Annual-Report.pdf</x:v>
      </x:c>
      <x:c r="I141" t="str">
        <x:v>https://www.sec.gov/Archives/edgar/data/86312/000008631222000013/0000086312-22-000013-index.htm</x:v>
      </x:c>
      <x:c r="J141" t="str">
        <x:v>3e42291a1ec9a7e2d27596f4d839cf36f538eeec1d16b3dbf718001c3471c92c</x:v>
      </x:c>
    </x:row>
    <x:row r="142">
      <x:c r="A142" t="n">
        <x:v>2020</x:v>
      </x:c>
      <x:c r="B142" t="str">
        <x:v>unpaid_recoverables</x:v>
      </x:c>
      <x:c r="C142" s="1" t="n">
        <x:v>8153</x:v>
      </x:c>
      <x:c r="D142" t="str">
        <x:v>disclosed</x:v>
      </x:c>
      <x:c r="E142" t="str">
        <x:v>trv_ar_2021</x:v>
      </x:c>
      <x:c r="F142" t="n">
        <x:v>182</x:v>
      </x:c>
      <x:c r="G142" t="str">
        <x:v>2022-02-17</x:v>
      </x:c>
      <x:c r="H142" t="str">
        <x:v>https://s26.q4cdn.com/410417801/files/doc_financials/2021/ar/Travelers-2021-Annual-Report.pdf</x:v>
      </x:c>
      <x:c r="I142" t="str">
        <x:v>https://www.sec.gov/Archives/edgar/data/86312/000008631222000013/0000086312-22-000013-index.htm</x:v>
      </x:c>
      <x:c r="J142" t="str">
        <x:v>3e42291a1ec9a7e2d27596f4d839cf36f538eeec1d16b3dbf718001c3471c92c</x:v>
      </x:c>
    </x:row>
    <x:row r="143">
      <x:c r="A143" t="n">
        <x:v>2021</x:v>
      </x:c>
      <x:c r="B143" t="str">
        <x:v>accrued_investment_income</x:v>
      </x:c>
      <x:c r="C143" s="1" t="n">
        <x:v>615</x:v>
      </x:c>
      <x:c r="D143" t="str">
        <x:v>disclosed</x:v>
      </x:c>
      <x:c r="E143" t="str">
        <x:v>trv_ar_2021</x:v>
      </x:c>
      <x:c r="F143" t="n">
        <x:v>146</x:v>
      </x:c>
      <x:c r="G143" t="str">
        <x:v>2022-02-17</x:v>
      </x:c>
      <x:c r="H143" t="str">
        <x:v>https://s26.q4cdn.com/410417801/files/doc_financials/2021/ar/Travelers-2021-Annual-Report.pdf</x:v>
      </x:c>
      <x:c r="I143" t="str">
        <x:v>https://www.sec.gov/Archives/edgar/data/86312/000008631222000013/0000086312-22-000013-index.htm</x:v>
      </x:c>
      <x:c r="J143" t="str">
        <x:v>3e42291a1ec9a7e2d27596f4d839cf36f538eeec1d16b3dbf718001c3471c92c</x:v>
      </x:c>
    </x:row>
    <x:row r="144">
      <x:c r="A144" t="n">
        <x:v>2021</x:v>
      </x:c>
      <x:c r="B144" t="str">
        <x:v>adoption_change</x:v>
      </x:c>
      <x:c r="C144" s="1" t="n">
        <x:v>0</x:v>
      </x:c>
      <x:c r="D144" t="str">
        <x:v>disclosed</x:v>
      </x:c>
      <x:c r="E144" t="str">
        <x:v>trv_ar_2021</x:v>
      </x:c>
      <x:c r="F144" t="n">
        <x:v>182</x:v>
      </x:c>
      <x:c r="G144" t="str">
        <x:v>2022-02-17</x:v>
      </x:c>
      <x:c r="H144" t="str">
        <x:v>https://s26.q4cdn.com/410417801/files/doc_financials/2021/ar/Travelers-2021-Annual-Report.pdf</x:v>
      </x:c>
      <x:c r="I144" t="str">
        <x:v>https://www.sec.gov/Archives/edgar/data/86312/000008631222000013/0000086312-22-000013-index.htm</x:v>
      </x:c>
      <x:c r="J144" t="str">
        <x:v>3e42291a1ec9a7e2d27596f4d839cf36f538eeec1d16b3dbf718001c3471c92c</x:v>
      </x:c>
    </x:row>
    <x:row r="145">
      <x:c r="A145" t="n">
        <x:v>2021</x:v>
      </x:c>
      <x:c r="B145" t="str">
        <x:v>adoption_equity</x:v>
      </x:c>
      <x:c r="C145" s="1" t="n">
        <x:v>0</x:v>
      </x:c>
      <x:c r="D145" t="str">
        <x:v>disclosed</x:v>
      </x:c>
      <x:c r="E145" t="str">
        <x:v>trv_ar_2022</x:v>
      </x:c>
      <x:c r="F145" t="n">
        <x:v>148</x:v>
      </x:c>
      <x:c r="G145" t="str">
        <x:v>2023-02-16</x:v>
      </x:c>
      <x:c r="H145" t="str">
        <x:v>https://s26.q4cdn.com/410417801/files/doc_financials/2022/ar/B/Travelers-2022-Annual-Report-pdf.pdf</x:v>
      </x:c>
      <x:c r="I145" t="str">
        <x:v>https://www.sec.gov/Archives/edgar/data/86312/000008631223000011/0000086312-23-000011-index.htm</x:v>
      </x:c>
      <x:c r="J145" t="str">
        <x:v>294fc17bdf196969c710ce679ef9470ca87e3d059b50f898fe487e5c68dd107d</x:v>
      </x:c>
    </x:row>
    <x:row r="146">
      <x:c r="A146" t="n">
        <x:v>2021</x:v>
      </x:c>
      <x:c r="B146" t="str">
        <x:v>aoci</x:v>
      </x:c>
      <x:c r="C146" s="1" t="n">
        <x:v>1193</x:v>
      </x:c>
      <x:c r="D146" t="str">
        <x:v>disclosed</x:v>
      </x:c>
      <x:c r="E146" t="str">
        <x:v>trv_ar_2021</x:v>
      </x:c>
      <x:c r="F146" t="n">
        <x:v>146</x:v>
      </x:c>
      <x:c r="G146" t="str">
        <x:v>2022-02-17</x:v>
      </x:c>
      <x:c r="H146" t="str">
        <x:v>https://s26.q4cdn.com/410417801/files/doc_financials/2021/ar/Travelers-2021-Annual-Report.pdf</x:v>
      </x:c>
      <x:c r="I146" t="str">
        <x:v>https://www.sec.gov/Archives/edgar/data/86312/000008631222000013/0000086312-22-000013-index.htm</x:v>
      </x:c>
      <x:c r="J146" t="str">
        <x:v>3e42291a1ec9a7e2d27596f4d839cf36f538eeec1d16b3dbf718001c3471c92c</x:v>
      </x:c>
    </x:row>
    <x:row r="147">
      <x:c r="A147" t="n">
        <x:v>2021</x:v>
      </x:c>
      <x:c r="B147" t="str">
        <x:v>assumed_earned</x:v>
      </x:c>
      <x:c r="C147" s="1" t="n">
        <x:v>1032</x:v>
      </x:c>
      <x:c r="D147" t="str">
        <x:v>disclosed</x:v>
      </x:c>
      <x:c r="E147" t="str">
        <x:v>trv_ar_2022</x:v>
      </x:c>
      <x:c r="F147" t="n">
        <x:v>179</x:v>
      </x:c>
      <x:c r="G147" t="str">
        <x:v>2023-02-16</x:v>
      </x:c>
      <x:c r="H147" t="str">
        <x:v>https://s26.q4cdn.com/410417801/files/doc_financials/2022/ar/B/Travelers-2022-Annual-Report-pdf.pdf</x:v>
      </x:c>
      <x:c r="I147" t="str">
        <x:v>https://www.sec.gov/Archives/edgar/data/86312/000008631223000011/0000086312-23-000011-index.htm</x:v>
      </x:c>
      <x:c r="J147" t="str">
        <x:v>294fc17bdf196969c710ce679ef9470ca87e3d059b50f898fe487e5c68dd107d</x:v>
      </x:c>
    </x:row>
    <x:row r="148">
      <x:c r="A148" t="n">
        <x:v>2021</x:v>
      </x:c>
      <x:c r="B148" t="str">
        <x:v>assumed_written</x:v>
      </x:c>
      <x:c r="C148" s="1" t="n">
        <x:v>1064</x:v>
      </x:c>
      <x:c r="D148" t="str">
        <x:v>disclosed</x:v>
      </x:c>
      <x:c r="E148" t="str">
        <x:v>trv_ar_2022</x:v>
      </x:c>
      <x:c r="F148" t="n">
        <x:v>179</x:v>
      </x:c>
      <x:c r="G148" t="str">
        <x:v>2023-02-16</x:v>
      </x:c>
      <x:c r="H148" t="str">
        <x:v>https://s26.q4cdn.com/410417801/files/doc_financials/2022/ar/B/Travelers-2022-Annual-Report-pdf.pdf</x:v>
      </x:c>
      <x:c r="I148" t="str">
        <x:v>https://www.sec.gov/Archives/edgar/data/86312/000008631223000011/0000086312-23-000011-index.htm</x:v>
      </x:c>
      <x:c r="J148" t="str">
        <x:v>294fc17bdf196969c710ce679ef9470ca87e3d059b50f898fe487e5c68dd107d</x:v>
      </x:c>
    </x:row>
    <x:row r="149">
      <x:c r="A149" t="n">
        <x:v>2021</x:v>
      </x:c>
      <x:c r="B149" t="str">
        <x:v>balance_sheet_claim_reserves</x:v>
      </x:c>
      <x:c r="C149" s="1" t="n">
        <x:v>56907</x:v>
      </x:c>
      <x:c r="D149" t="str">
        <x:v>disclosed</x:v>
      </x:c>
      <x:c r="E149" t="str">
        <x:v>trv_ar_2021</x:v>
      </x:c>
      <x:c r="F149" t="n">
        <x:v>146</x:v>
      </x:c>
      <x:c r="G149" t="str">
        <x:v>2022-02-17</x:v>
      </x:c>
      <x:c r="H149" t="str">
        <x:v>https://s26.q4cdn.com/410417801/files/doc_financials/2021/ar/Travelers-2021-Annual-Report.pdf</x:v>
      </x:c>
      <x:c r="I149" t="str">
        <x:v>https://www.sec.gov/Archives/edgar/data/86312/000008631222000013/0000086312-22-000013-index.htm</x:v>
      </x:c>
      <x:c r="J149" t="str">
        <x:v>3e42291a1ec9a7e2d27596f4d839cf36f538eeec1d16b3dbf718001c3471c92c</x:v>
      </x:c>
    </x:row>
    <x:row r="150">
      <x:c r="A150" t="n">
        <x:v>2021</x:v>
      </x:c>
      <x:c r="B150" t="str">
        <x:v>cash</x:v>
      </x:c>
      <x:c r="C150" s="1" t="n">
        <x:v>761</x:v>
      </x:c>
      <x:c r="D150" t="str">
        <x:v>disclosed</x:v>
      </x:c>
      <x:c r="E150" t="str">
        <x:v>trv_ar_2021</x:v>
      </x:c>
      <x:c r="F150" t="n">
        <x:v>146</x:v>
      </x:c>
      <x:c r="G150" t="str">
        <x:v>2022-02-17</x:v>
      </x:c>
      <x:c r="H150" t="str">
        <x:v>https://s26.q4cdn.com/410417801/files/doc_financials/2021/ar/Travelers-2021-Annual-Report.pdf</x:v>
      </x:c>
      <x:c r="I150" t="str">
        <x:v>https://www.sec.gov/Archives/edgar/data/86312/000008631222000013/0000086312-22-000013-index.htm</x:v>
      </x:c>
      <x:c r="J150" t="str">
        <x:v>3e42291a1ec9a7e2d27596f4d839cf36f538eeec1d16b3dbf718001c3471c92c</x:v>
      </x:c>
    </x:row>
    <x:row r="151">
      <x:c r="A151" t="n">
        <x:v>2021</x:v>
      </x:c>
      <x:c r="B151" t="str">
        <x:v>cash_change_before_reclassification</x:v>
      </x:c>
      <x:c r="C151" s="1" t="n">
        <x:v>40</x:v>
      </x:c>
      <x:c r="D151" t="str">
        <x:v>disclosed</x:v>
      </x:c>
      <x:c r="E151" t="str">
        <x:v>trv_ar_2022</x:v>
      </x:c>
      <x:c r="F151" t="n">
        <x:v>149</x:v>
      </x:c>
      <x:c r="G151" t="str">
        <x:v>2023-02-16</x:v>
      </x:c>
      <x:c r="H151" t="str">
        <x:v>https://s26.q4cdn.com/410417801/files/doc_financials/2022/ar/B/Travelers-2022-Annual-Report-pdf.pdf</x:v>
      </x:c>
      <x:c r="I151" t="str">
        <x:v>https://www.sec.gov/Archives/edgar/data/86312/000008631223000011/0000086312-23-000011-index.htm</x:v>
      </x:c>
      <x:c r="J151" t="str">
        <x:v>294fc17bdf196969c710ce679ef9470ca87e3d059b50f898fe487e5c68dd107d</x:v>
      </x:c>
    </x:row>
    <x:row r="152">
      <x:c r="A152" t="n">
        <x:v>2021</x:v>
      </x:c>
      <x:c r="B152" t="str">
        <x:v>cash_flow_closing</x:v>
      </x:c>
      <x:c r="C152" s="1" t="n">
        <x:v>761</x:v>
      </x:c>
      <x:c r="D152" t="str">
        <x:v>disclosed</x:v>
      </x:c>
      <x:c r="E152" t="str">
        <x:v>trv_ar_2022</x:v>
      </x:c>
      <x:c r="F152" t="n">
        <x:v>149</x:v>
      </x:c>
      <x:c r="G152" t="str">
        <x:v>2023-02-16</x:v>
      </x:c>
      <x:c r="H152" t="str">
        <x:v>https://s26.q4cdn.com/410417801/files/doc_financials/2022/ar/B/Travelers-2022-Annual-Report-pdf.pdf</x:v>
      </x:c>
      <x:c r="I152" t="str">
        <x:v>https://www.sec.gov/Archives/edgar/data/86312/000008631223000011/0000086312-23-000011-index.htm</x:v>
      </x:c>
      <x:c r="J152" t="str">
        <x:v>294fc17bdf196969c710ce679ef9470ca87e3d059b50f898fe487e5c68dd107d</x:v>
      </x:c>
    </x:row>
    <x:row r="153">
      <x:c r="A153" t="n">
        <x:v>2021</x:v>
      </x:c>
      <x:c r="B153" t="str">
        <x:v>cash_flow_net_income</x:v>
      </x:c>
      <x:c r="C153" s="1" t="n">
        <x:v>3662</x:v>
      </x:c>
      <x:c r="D153" t="str">
        <x:v>disclosed</x:v>
      </x:c>
      <x:c r="E153" t="str">
        <x:v>trv_ar_2022</x:v>
      </x:c>
      <x:c r="F153" t="n">
        <x:v>149</x:v>
      </x:c>
      <x:c r="G153" t="str">
        <x:v>2023-02-16</x:v>
      </x:c>
      <x:c r="H153" t="str">
        <x:v>https://s26.q4cdn.com/410417801/files/doc_financials/2022/ar/B/Travelers-2022-Annual-Report-pdf.pdf</x:v>
      </x:c>
      <x:c r="I153" t="str">
        <x:v>https://www.sec.gov/Archives/edgar/data/86312/000008631223000011/0000086312-23-000011-index.htm</x:v>
      </x:c>
      <x:c r="J153" t="str">
        <x:v>294fc17bdf196969c710ce679ef9470ca87e3d059b50f898fe487e5c68dd107d</x:v>
      </x:c>
    </x:row>
    <x:row r="154">
      <x:c r="A154" t="n">
        <x:v>2021</x:v>
      </x:c>
      <x:c r="B154" t="str">
        <x:v>cash_flow_opening</x:v>
      </x:c>
      <x:c r="C154" s="1" t="n">
        <x:v>721</x:v>
      </x:c>
      <x:c r="D154" t="str">
        <x:v>disclosed</x:v>
      </x:c>
      <x:c r="E154" t="str">
        <x:v>trv_ar_2022</x:v>
      </x:c>
      <x:c r="F154" t="n">
        <x:v>149</x:v>
      </x:c>
      <x:c r="G154" t="str">
        <x:v>2023-02-16</x:v>
      </x:c>
      <x:c r="H154" t="str">
        <x:v>https://s26.q4cdn.com/410417801/files/doc_financials/2022/ar/B/Travelers-2022-Annual-Report-pdf.pdf</x:v>
      </x:c>
      <x:c r="I154" t="str">
        <x:v>https://www.sec.gov/Archives/edgar/data/86312/000008631223000011/0000086312-23-000011-index.htm</x:v>
      </x:c>
      <x:c r="J154" t="str">
        <x:v>294fc17bdf196969c710ce679ef9470ca87e3d059b50f898fe487e5c68dd107d</x:v>
      </x:c>
    </x:row>
    <x:row r="155">
      <x:c r="A155" t="n">
        <x:v>2021</x:v>
      </x:c>
      <x:c r="B155" t="str">
        <x:v>cash_fx</x:v>
      </x:c>
      <x:c r="C155" s="1" t="n">
        <x:v>-1</x:v>
      </x:c>
      <x:c r="D155" t="str">
        <x:v>disclosed</x:v>
      </x:c>
      <x:c r="E155" t="str">
        <x:v>trv_ar_2022</x:v>
      </x:c>
      <x:c r="F155" t="n">
        <x:v>149</x:v>
      </x:c>
      <x:c r="G155" t="str">
        <x:v>2023-02-16</x:v>
      </x:c>
      <x:c r="H155" t="str">
        <x:v>https://s26.q4cdn.com/410417801/files/doc_financials/2022/ar/B/Travelers-2022-Annual-Report-pdf.pdf</x:v>
      </x:c>
      <x:c r="I155" t="str">
        <x:v>https://www.sec.gov/Archives/edgar/data/86312/000008631223000011/0000086312-23-000011-index.htm</x:v>
      </x:c>
      <x:c r="J155" t="str">
        <x:v>294fc17bdf196969c710ce679ef9470ca87e3d059b50f898fe487e5c68dd107d</x:v>
      </x:c>
    </x:row>
    <x:row r="156">
      <x:c r="A156" t="n">
        <x:v>2021</x:v>
      </x:c>
      <x:c r="B156" t="str">
        <x:v>cash_tax</x:v>
      </x:c>
      <x:c r="C156" s="1" t="n">
        <x:v>707</x:v>
      </x:c>
      <x:c r="D156" t="str">
        <x:v>disclosed</x:v>
      </x:c>
      <x:c r="E156" t="str">
        <x:v>trv_ar_2022</x:v>
      </x:c>
      <x:c r="F156" t="n">
        <x:v>149</x:v>
      </x:c>
      <x:c r="G156" t="str">
        <x:v>2023-02-16</x:v>
      </x:c>
      <x:c r="H156" t="str">
        <x:v>https://s26.q4cdn.com/410417801/files/doc_financials/2022/ar/B/Travelers-2022-Annual-Report-pdf.pdf</x:v>
      </x:c>
      <x:c r="I156" t="str">
        <x:v>https://www.sec.gov/Archives/edgar/data/86312/000008631223000011/0000086312-23-000011-index.htm</x:v>
      </x:c>
      <x:c r="J156" t="str">
        <x:v>294fc17bdf196969c710ce679ef9470ca87e3d059b50f898fe487e5c68dd107d</x:v>
      </x:c>
    </x:row>
    <x:row r="157">
      <x:c r="A157" t="n">
        <x:v>2021</x:v>
      </x:c>
      <x:c r="B157" t="str">
        <x:v>ceded_earned</x:v>
      </x:c>
      <x:c r="C157" s="1" t="n">
        <x:v>2154</x:v>
      </x:c>
      <x:c r="D157" t="str">
        <x:v>disclosed</x:v>
      </x:c>
      <x:c r="E157" t="str">
        <x:v>trv_ar_2022</x:v>
      </x:c>
      <x:c r="F157" t="n">
        <x:v>179</x:v>
      </x:c>
      <x:c r="G157" t="str">
        <x:v>2023-02-16</x:v>
      </x:c>
      <x:c r="H157" t="str">
        <x:v>https://s26.q4cdn.com/410417801/files/doc_financials/2022/ar/B/Travelers-2022-Annual-Report-pdf.pdf</x:v>
      </x:c>
      <x:c r="I157" t="str">
        <x:v>https://www.sec.gov/Archives/edgar/data/86312/000008631223000011/0000086312-23-000011-index.htm</x:v>
      </x:c>
      <x:c r="J157" t="str">
        <x:v>294fc17bdf196969c710ce679ef9470ca87e3d059b50f898fe487e5c68dd107d</x:v>
      </x:c>
    </x:row>
    <x:row r="158">
      <x:c r="A158" t="n">
        <x:v>2021</x:v>
      </x:c>
      <x:c r="B158" t="str">
        <x:v>ceded_upr</x:v>
      </x:c>
      <x:c r="C158" s="1" t="n">
        <x:v>902</x:v>
      </x:c>
      <x:c r="D158" t="str">
        <x:v>disclosed</x:v>
      </x:c>
      <x:c r="E158" t="str">
        <x:v>trv_ar_2021</x:v>
      </x:c>
      <x:c r="F158" t="n">
        <x:v>146</x:v>
      </x:c>
      <x:c r="G158" t="str">
        <x:v>2022-02-17</x:v>
      </x:c>
      <x:c r="H158" t="str">
        <x:v>https://s26.q4cdn.com/410417801/files/doc_financials/2021/ar/Travelers-2021-Annual-Report.pdf</x:v>
      </x:c>
      <x:c r="I158" t="str">
        <x:v>https://www.sec.gov/Archives/edgar/data/86312/000008631222000013/0000086312-22-000013-index.htm</x:v>
      </x:c>
      <x:c r="J158" t="str">
        <x:v>3e42291a1ec9a7e2d27596f4d839cf36f538eeec1d16b3dbf718001c3471c92c</x:v>
      </x:c>
    </x:row>
    <x:row r="159">
      <x:c r="A159" t="n">
        <x:v>2021</x:v>
      </x:c>
      <x:c r="B159" t="str">
        <x:v>ceded_written</x:v>
      </x:c>
      <x:c r="C159" s="1" t="n">
        <x:v>2285</x:v>
      </x:c>
      <x:c r="D159" t="str">
        <x:v>disclosed</x:v>
      </x:c>
      <x:c r="E159" t="str">
        <x:v>trv_ar_2022</x:v>
      </x:c>
      <x:c r="F159" t="n">
        <x:v>179</x:v>
      </x:c>
      <x:c r="G159" t="str">
        <x:v>2023-02-16</x:v>
      </x:c>
      <x:c r="H159" t="str">
        <x:v>https://s26.q4cdn.com/410417801/files/doc_financials/2022/ar/B/Travelers-2022-Annual-Report-pdf.pdf</x:v>
      </x:c>
      <x:c r="I159" t="str">
        <x:v>https://www.sec.gov/Archives/edgar/data/86312/000008631223000011/0000086312-23-000011-index.htm</x:v>
      </x:c>
      <x:c r="J159" t="str">
        <x:v>294fc17bdf196969c710ce679ef9470ca87e3d059b50f898fe487e5c68dd107d</x:v>
      </x:c>
    </x:row>
    <x:row r="160">
      <x:c r="A160" t="n">
        <x:v>2021</x:v>
      </x:c>
      <x:c r="B160" t="str">
        <x:v>cff</x:v>
      </x:c>
      <x:c r="C160" s="1" t="n">
        <x:v>-2037</x:v>
      </x:c>
      <x:c r="D160" t="str">
        <x:v>disclosed</x:v>
      </x:c>
      <x:c r="E160" t="str">
        <x:v>trv_ar_2022</x:v>
      </x:c>
      <x:c r="F160" t="n">
        <x:v>149</x:v>
      </x:c>
      <x:c r="G160" t="str">
        <x:v>2023-02-16</x:v>
      </x:c>
      <x:c r="H160" t="str">
        <x:v>https://s26.q4cdn.com/410417801/files/doc_financials/2022/ar/B/Travelers-2022-Annual-Report-pdf.pdf</x:v>
      </x:c>
      <x:c r="I160" t="str">
        <x:v>https://www.sec.gov/Archives/edgar/data/86312/000008631223000011/0000086312-23-000011-index.htm</x:v>
      </x:c>
      <x:c r="J160" t="str">
        <x:v>294fc17bdf196969c710ce679ef9470ca87e3d059b50f898fe487e5c68dd107d</x:v>
      </x:c>
    </x:row>
    <x:row r="161">
      <x:c r="A161" t="n">
        <x:v>2021</x:v>
      </x:c>
      <x:c r="B161" t="str">
        <x:v>cfi</x:v>
      </x:c>
      <x:c r="C161" s="1" t="n">
        <x:v>-5196</x:v>
      </x:c>
      <x:c r="D161" t="str">
        <x:v>disclosed</x:v>
      </x:c>
      <x:c r="E161" t="str">
        <x:v>trv_ar_2022</x:v>
      </x:c>
      <x:c r="F161" t="n">
        <x:v>149</x:v>
      </x:c>
      <x:c r="G161" t="str">
        <x:v>2023-02-16</x:v>
      </x:c>
      <x:c r="H161" t="str">
        <x:v>https://s26.q4cdn.com/410417801/files/doc_financials/2022/ar/B/Travelers-2022-Annual-Report-pdf.pdf</x:v>
      </x:c>
      <x:c r="I161" t="str">
        <x:v>https://www.sec.gov/Archives/edgar/data/86312/000008631223000011/0000086312-23-000011-index.htm</x:v>
      </x:c>
      <x:c r="J161" t="str">
        <x:v>294fc17bdf196969c710ce679ef9470ca87e3d059b50f898fe487e5c68dd107d</x:v>
      </x:c>
    </x:row>
    <x:row r="162">
      <x:c r="A162" t="n">
        <x:v>2021</x:v>
      </x:c>
      <x:c r="B162" t="str">
        <x:v>cfo</x:v>
      </x:c>
      <x:c r="C162" s="1" t="n">
        <x:v>7274</x:v>
      </x:c>
      <x:c r="D162" t="str">
        <x:v>disclosed</x:v>
      </x:c>
      <x:c r="E162" t="str">
        <x:v>trv_ar_2022</x:v>
      </x:c>
      <x:c r="F162" t="n">
        <x:v>149</x:v>
      </x:c>
      <x:c r="G162" t="str">
        <x:v>2023-02-16</x:v>
      </x:c>
      <x:c r="H162" t="str">
        <x:v>https://s26.q4cdn.com/410417801/files/doc_financials/2022/ar/B/Travelers-2022-Annual-Report-pdf.pdf</x:v>
      </x:c>
      <x:c r="I162" t="str">
        <x:v>https://www.sec.gov/Archives/edgar/data/86312/000008631223000011/0000086312-23-000011-index.htm</x:v>
      </x:c>
      <x:c r="J162" t="str">
        <x:v>294fc17bdf196969c710ce679ef9470ca87e3d059b50f898fe487e5c68dd107d</x:v>
      </x:c>
    </x:row>
    <x:row r="163">
      <x:c r="A163" t="n">
        <x:v>2021</x:v>
      </x:c>
      <x:c r="B163" t="str">
        <x:v>claims</x:v>
      </x:c>
      <x:c r="C163" s="1" t="n">
        <x:v>20298</x:v>
      </x:c>
      <x:c r="D163" t="str">
        <x:v>disclosed</x:v>
      </x:c>
      <x:c r="E163" t="str">
        <x:v>trv_ar_2022</x:v>
      </x:c>
      <x:c r="F163" t="n">
        <x:v>145</x:v>
      </x:c>
      <x:c r="G163" t="str">
        <x:v>2023-02-16</x:v>
      </x:c>
      <x:c r="H163" t="str">
        <x:v>https://s26.q4cdn.com/410417801/files/doc_financials/2022/ar/B/Travelers-2022-Annual-Report-pdf.pdf</x:v>
      </x:c>
      <x:c r="I163" t="str">
        <x:v>https://www.sec.gov/Archives/edgar/data/86312/000008631223000011/0000086312-23-000011-index.htm</x:v>
      </x:c>
      <x:c r="J163" t="str">
        <x:v>294fc17bdf196969c710ce679ef9470ca87e3d059b50f898fe487e5c68dd107d</x:v>
      </x:c>
    </x:row>
    <x:row r="164">
      <x:c r="A164" t="n">
        <x:v>2021</x:v>
      </x:c>
      <x:c r="B164" t="str">
        <x:v>closing_aoci</x:v>
      </x:c>
      <x:c r="C164" s="1" t="n">
        <x:v>1193</x:v>
      </x:c>
      <x:c r="D164" t="str">
        <x:v>disclosed</x:v>
      </x:c>
      <x:c r="E164" t="str">
        <x:v>trv_ar_2022</x:v>
      </x:c>
      <x:c r="F164" t="n">
        <x:v>148</x:v>
      </x:c>
      <x:c r="G164" t="str">
        <x:v>2023-02-16</x:v>
      </x:c>
      <x:c r="H164" t="str">
        <x:v>https://s26.q4cdn.com/410417801/files/doc_financials/2022/ar/B/Travelers-2022-Annual-Report-pdf.pdf</x:v>
      </x:c>
      <x:c r="I164" t="str">
        <x:v>https://www.sec.gov/Archives/edgar/data/86312/000008631223000011/0000086312-23-000011-index.htm</x:v>
      </x:c>
      <x:c r="J164" t="str">
        <x:v>294fc17bdf196969c710ce679ef9470ca87e3d059b50f898fe487e5c68dd107d</x:v>
      </x:c>
    </x:row>
    <x:row r="165">
      <x:c r="A165" t="n">
        <x:v>2021</x:v>
      </x:c>
      <x:c r="B165" t="str">
        <x:v>closing_equity</x:v>
      </x:c>
      <x:c r="C165" s="1" t="n">
        <x:v>28887</x:v>
      </x:c>
      <x:c r="D165" t="str">
        <x:v>disclosed</x:v>
      </x:c>
      <x:c r="E165" t="str">
        <x:v>trv_ar_2022</x:v>
      </x:c>
      <x:c r="F165" t="n">
        <x:v>148</x:v>
      </x:c>
      <x:c r="G165" t="str">
        <x:v>2023-02-16</x:v>
      </x:c>
      <x:c r="H165" t="str">
        <x:v>https://s26.q4cdn.com/410417801/files/doc_financials/2022/ar/B/Travelers-2022-Annual-Report-pdf.pdf</x:v>
      </x:c>
      <x:c r="I165" t="str">
        <x:v>https://www.sec.gov/Archives/edgar/data/86312/000008631223000011/0000086312-23-000011-index.htm</x:v>
      </x:c>
      <x:c r="J165" t="str">
        <x:v>294fc17bdf196969c710ce679ef9470ca87e3d059b50f898fe487e5c68dd107d</x:v>
      </x:c>
    </x:row>
    <x:row r="166">
      <x:c r="A166" t="n">
        <x:v>2021</x:v>
      </x:c>
      <x:c r="B166" t="str">
        <x:v>closing_shares</x:v>
      </x:c>
      <x:c r="C166" s="1" t="n">
        <x:v>241.2</x:v>
      </x:c>
      <x:c r="D166" t="str">
        <x:v>disclosed</x:v>
      </x:c>
      <x:c r="E166" t="str">
        <x:v>trv_ar_2022</x:v>
      </x:c>
      <x:c r="F166" t="n">
        <x:v>148</x:v>
      </x:c>
      <x:c r="G166" t="str">
        <x:v>2023-02-16</x:v>
      </x:c>
      <x:c r="H166" t="str">
        <x:v>https://s26.q4cdn.com/410417801/files/doc_financials/2022/ar/B/Travelers-2022-Annual-Report-pdf.pdf</x:v>
      </x:c>
      <x:c r="I166" t="str">
        <x:v>https://www.sec.gov/Archives/edgar/data/86312/000008631223000011/0000086312-23-000011-index.htm</x:v>
      </x:c>
      <x:c r="J166" t="str">
        <x:v>294fc17bdf196969c710ce679ef9470ca87e3d059b50f898fe487e5c68dd107d</x:v>
      </x:c>
    </x:row>
    <x:row r="167">
      <x:c r="A167" t="n">
        <x:v>2021</x:v>
      </x:c>
      <x:c r="B167" t="str">
        <x:v>common_stock</x:v>
      </x:c>
      <x:c r="C167" s="1" t="n">
        <x:v>24154</x:v>
      </x:c>
      <x:c r="D167" t="str">
        <x:v>disclosed</x:v>
      </x:c>
      <x:c r="E167" t="str">
        <x:v>trv_ar_2021</x:v>
      </x:c>
      <x:c r="F167" t="n">
        <x:v>146</x:v>
      </x:c>
      <x:c r="G167" t="str">
        <x:v>2022-02-17</x:v>
      </x:c>
      <x:c r="H167" t="str">
        <x:v>https://s26.q4cdn.com/410417801/files/doc_financials/2021/ar/Travelers-2021-Annual-Report.pdf</x:v>
      </x:c>
      <x:c r="I167" t="str">
        <x:v>https://www.sec.gov/Archives/edgar/data/86312/000008631222000013/0000086312-22-000013-index.htm</x:v>
      </x:c>
      <x:c r="J167" t="str">
        <x:v>3e42291a1ec9a7e2d27596f4d839cf36f538eeec1d16b3dbf718001c3471c92c</x:v>
      </x:c>
    </x:row>
    <x:row r="168">
      <x:c r="A168" t="n">
        <x:v>2021</x:v>
      </x:c>
      <x:c r="B168" t="str">
        <x:v>contractholder_payables</x:v>
      </x:c>
      <x:c r="C168" s="1" t="n">
        <x:v>3911</x:v>
      </x:c>
      <x:c r="D168" t="str">
        <x:v>disclosed</x:v>
      </x:c>
      <x:c r="E168" t="str">
        <x:v>trv_ar_2021</x:v>
      </x:c>
      <x:c r="F168" t="n">
        <x:v>146</x:v>
      </x:c>
      <x:c r="G168" t="str">
        <x:v>2022-02-17</x:v>
      </x:c>
      <x:c r="H168" t="str">
        <x:v>https://s26.q4cdn.com/410417801/files/doc_financials/2021/ar/Travelers-2021-Annual-Report.pdf</x:v>
      </x:c>
      <x:c r="I168" t="str">
        <x:v>https://www.sec.gov/Archives/edgar/data/86312/000008631222000013/0000086312-22-000013-index.htm</x:v>
      </x:c>
      <x:c r="J168" t="str">
        <x:v>3e42291a1ec9a7e2d27596f4d839cf36f538eeec1d16b3dbf718001c3471c92c</x:v>
      </x:c>
    </x:row>
    <x:row r="169">
      <x:c r="A169" t="n">
        <x:v>2021</x:v>
      </x:c>
      <x:c r="B169" t="str">
        <x:v>contractholder_receivables</x:v>
      </x:c>
      <x:c r="C169" s="1" t="n">
        <x:v>3890</x:v>
      </x:c>
      <x:c r="D169" t="str">
        <x:v>disclosed</x:v>
      </x:c>
      <x:c r="E169" t="str">
        <x:v>trv_ar_2021</x:v>
      </x:c>
      <x:c r="F169" t="n">
        <x:v>146</x:v>
      </x:c>
      <x:c r="G169" t="str">
        <x:v>2022-02-17</x:v>
      </x:c>
      <x:c r="H169" t="str">
        <x:v>https://s26.q4cdn.com/410417801/files/doc_financials/2021/ar/Travelers-2021-Annual-Report.pdf</x:v>
      </x:c>
      <x:c r="I169" t="str">
        <x:v>https://www.sec.gov/Archives/edgar/data/86312/000008631222000013/0000086312-22-000013-index.htm</x:v>
      </x:c>
      <x:c r="J169" t="str">
        <x:v>3e42291a1ec9a7e2d27596f4d839cf36f538eeec1d16b3dbf718001c3471c92c</x:v>
      </x:c>
    </x:row>
    <x:row r="170">
      <x:c r="A170" t="n">
        <x:v>2021</x:v>
      </x:c>
      <x:c r="B170" t="str">
        <x:v>current_incurred</x:v>
      </x:c>
      <x:c r="C170" s="1" t="n">
        <x:v>20698</x:v>
      </x:c>
      <x:c r="D170" t="str">
        <x:v>disclosed</x:v>
      </x:c>
      <x:c r="E170" t="str">
        <x:v>trv_ar_2021</x:v>
      </x:c>
      <x:c r="F170" t="n">
        <x:v>182</x:v>
      </x:c>
      <x:c r="G170" t="str">
        <x:v>2022-02-17</x:v>
      </x:c>
      <x:c r="H170" t="str">
        <x:v>https://s26.q4cdn.com/410417801/files/doc_financials/2021/ar/Travelers-2021-Annual-Report.pdf</x:v>
      </x:c>
      <x:c r="I170" t="str">
        <x:v>https://www.sec.gov/Archives/edgar/data/86312/000008631222000013/0000086312-22-000013-index.htm</x:v>
      </x:c>
      <x:c r="J170" t="str">
        <x:v>3e42291a1ec9a7e2d27596f4d839cf36f538eeec1d16b3dbf718001c3471c92c</x:v>
      </x:c>
    </x:row>
    <x:row r="171">
      <x:c r="A171" t="n">
        <x:v>2021</x:v>
      </x:c>
      <x:c r="B171" t="str">
        <x:v>dac</x:v>
      </x:c>
      <x:c r="C171" s="1" t="n">
        <x:v>2542</x:v>
      </x:c>
      <x:c r="D171" t="str">
        <x:v>disclosed</x:v>
      </x:c>
      <x:c r="E171" t="str">
        <x:v>trv_ar_2021</x:v>
      </x:c>
      <x:c r="F171" t="n">
        <x:v>146</x:v>
      </x:c>
      <x:c r="G171" t="str">
        <x:v>2022-02-17</x:v>
      </x:c>
      <x:c r="H171" t="str">
        <x:v>https://s26.q4cdn.com/410417801/files/doc_financials/2021/ar/Travelers-2021-Annual-Report.pdf</x:v>
      </x:c>
      <x:c r="I171" t="str">
        <x:v>https://www.sec.gov/Archives/edgar/data/86312/000008631222000013/0000086312-22-000013-index.htm</x:v>
      </x:c>
      <x:c r="J171" t="str">
        <x:v>3e42291a1ec9a7e2d27596f4d839cf36f538eeec1d16b3dbf718001c3471c92c</x:v>
      </x:c>
    </x:row>
    <x:row r="172">
      <x:c r="A172" t="n">
        <x:v>2021</x:v>
      </x:c>
      <x:c r="B172" t="str">
        <x:v>dac_amortization</x:v>
      </x:c>
      <x:c r="C172" s="1" t="n">
        <x:v>5043</x:v>
      </x:c>
      <x:c r="D172" t="str">
        <x:v>disclosed</x:v>
      </x:c>
      <x:c r="E172" t="str">
        <x:v>trv_ar_2022</x:v>
      </x:c>
      <x:c r="F172" t="n">
        <x:v>145</x:v>
      </x:c>
      <x:c r="G172" t="str">
        <x:v>2023-02-16</x:v>
      </x:c>
      <x:c r="H172" t="str">
        <x:v>https://s26.q4cdn.com/410417801/files/doc_financials/2022/ar/B/Travelers-2022-Annual-Report-pdf.pdf</x:v>
      </x:c>
      <x:c r="I172" t="str">
        <x:v>https://www.sec.gov/Archives/edgar/data/86312/000008631223000011/0000086312-23-000011-index.htm</x:v>
      </x:c>
      <x:c r="J172" t="str">
        <x:v>294fc17bdf196969c710ce679ef9470ca87e3d059b50f898fe487e5c68dd107d</x:v>
      </x:c>
    </x:row>
    <x:row r="173">
      <x:c r="A173" t="n">
        <x:v>2021</x:v>
      </x:c>
      <x:c r="B173" t="str">
        <x:v>dac_cash_additions</x:v>
      </x:c>
      <x:c r="C173" s="1" t="n">
        <x:v>5227</x:v>
      </x:c>
      <x:c r="D173" t="str">
        <x:v>disclosed</x:v>
      </x:c>
      <x:c r="E173" t="str">
        <x:v>trv_ar_2022</x:v>
      </x:c>
      <x:c r="F173" t="n">
        <x:v>149</x:v>
      </x:c>
      <x:c r="G173" t="str">
        <x:v>2023-02-16</x:v>
      </x:c>
      <x:c r="H173" t="str">
        <x:v>https://s26.q4cdn.com/410417801/files/doc_financials/2022/ar/B/Travelers-2022-Annual-Report-pdf.pdf</x:v>
      </x:c>
      <x:c r="I173" t="str">
        <x:v>https://www.sec.gov/Archives/edgar/data/86312/000008631223000011/0000086312-23-000011-index.htm</x:v>
      </x:c>
      <x:c r="J173" t="str">
        <x:v>294fc17bdf196969c710ce679ef9470ca87e3d059b50f898fe487e5c68dd107d</x:v>
      </x:c>
    </x:row>
    <x:row r="174">
      <x:c r="A174" t="n">
        <x:v>2021</x:v>
      </x:c>
      <x:c r="B174" t="str">
        <x:v>debt</x:v>
      </x:c>
      <x:c r="C174" s="1" t="n">
        <x:v>7290</x:v>
      </x:c>
      <x:c r="D174" t="str">
        <x:v>disclosed</x:v>
      </x:c>
      <x:c r="E174" t="str">
        <x:v>trv_ar_2021</x:v>
      </x:c>
      <x:c r="F174" t="n">
        <x:v>146</x:v>
      </x:c>
      <x:c r="G174" t="str">
        <x:v>2022-02-17</x:v>
      </x:c>
      <x:c r="H174" t="str">
        <x:v>https://s26.q4cdn.com/410417801/files/doc_financials/2021/ar/Travelers-2021-Annual-Report.pdf</x:v>
      </x:c>
      <x:c r="I174" t="str">
        <x:v>https://www.sec.gov/Archives/edgar/data/86312/000008631222000013/0000086312-22-000013-index.htm</x:v>
      </x:c>
      <x:c r="J174" t="str">
        <x:v>3e42291a1ec9a7e2d27596f4d839cf36f538eeec1d16b3dbf718001c3471c92c</x:v>
      </x:c>
    </x:row>
    <x:row r="175">
      <x:c r="A175" t="n">
        <x:v>2021</x:v>
      </x:c>
      <x:c r="B175" t="str">
        <x:v>debt_issuance</x:v>
      </x:c>
      <x:c r="C175" s="1" t="n">
        <x:v>739</x:v>
      </x:c>
      <x:c r="D175" t="str">
        <x:v>disclosed</x:v>
      </x:c>
      <x:c r="E175" t="str">
        <x:v>trv_ar_2022</x:v>
      </x:c>
      <x:c r="F175" t="n">
        <x:v>149</x:v>
      </x:c>
      <x:c r="G175" t="str">
        <x:v>2023-02-16</x:v>
      </x:c>
      <x:c r="H175" t="str">
        <x:v>https://s26.q4cdn.com/410417801/files/doc_financials/2022/ar/B/Travelers-2022-Annual-Report-pdf.pdf</x:v>
      </x:c>
      <x:c r="I175" t="str">
        <x:v>https://www.sec.gov/Archives/edgar/data/86312/000008631223000011/0000086312-23-000011-index.htm</x:v>
      </x:c>
      <x:c r="J175" t="str">
        <x:v>294fc17bdf196969c710ce679ef9470ca87e3d059b50f898fe487e5c68dd107d</x:v>
      </x:c>
    </x:row>
    <x:row r="176">
      <x:c r="A176" t="n">
        <x:v>2021</x:v>
      </x:c>
      <x:c r="B176" t="str">
        <x:v>debt_repayment</x:v>
      </x:c>
      <x:c r="C176" s="1" t="n">
        <x:v>0</x:v>
      </x:c>
      <x:c r="D176" t="str">
        <x:v>disclosed</x:v>
      </x:c>
      <x:c r="E176" t="str">
        <x:v>trv_ar_2022</x:v>
      </x:c>
      <x:c r="F176" t="n">
        <x:v>149</x:v>
      </x:c>
      <x:c r="G176" t="str">
        <x:v>2023-02-16</x:v>
      </x:c>
      <x:c r="H176" t="str">
        <x:v>https://s26.q4cdn.com/410417801/files/doc_financials/2022/ar/B/Travelers-2022-Annual-Report-pdf.pdf</x:v>
      </x:c>
      <x:c r="I176" t="str">
        <x:v>https://www.sec.gov/Archives/edgar/data/86312/000008631223000011/0000086312-23-000011-index.htm</x:v>
      </x:c>
      <x:c r="J176" t="str">
        <x:v>294fc17bdf196969c710ce679ef9470ca87e3d059b50f898fe487e5c68dd107d</x:v>
      </x:c>
    </x:row>
    <x:row r="177">
      <x:c r="A177" t="n">
        <x:v>2021</x:v>
      </x:c>
      <x:c r="B177" t="str">
        <x:v>deferred_tax_liability</x:v>
      </x:c>
      <x:c r="C177" s="1" t="n">
        <x:v>289</x:v>
      </x:c>
      <x:c r="D177" t="str">
        <x:v>disclosed</x:v>
      </x:c>
      <x:c r="E177" t="str">
        <x:v>trv_ar_2021</x:v>
      </x:c>
      <x:c r="F177" t="n">
        <x:v>146</x:v>
      </x:c>
      <x:c r="G177" t="str">
        <x:v>2022-02-17</x:v>
      </x:c>
      <x:c r="H177" t="str">
        <x:v>https://s26.q4cdn.com/410417801/files/doc_financials/2021/ar/Travelers-2021-Annual-Report.pdf</x:v>
      </x:c>
      <x:c r="I177" t="str">
        <x:v>https://www.sec.gov/Archives/edgar/data/86312/000008631222000013/0000086312-22-000013-index.htm</x:v>
      </x:c>
      <x:c r="J177" t="str">
        <x:v>3e42291a1ec9a7e2d27596f4d839cf36f538eeec1d16b3dbf718001c3471c92c</x:v>
      </x:c>
    </x:row>
    <x:row r="178">
      <x:c r="A178" t="n">
        <x:v>2021</x:v>
      </x:c>
      <x:c r="B178" t="str">
        <x:v>direct_earned</x:v>
      </x:c>
      <x:c r="C178" s="1" t="n">
        <x:v>31977</x:v>
      </x:c>
      <x:c r="D178" t="str">
        <x:v>disclosed</x:v>
      </x:c>
      <x:c r="E178" t="str">
        <x:v>trv_ar_2022</x:v>
      </x:c>
      <x:c r="F178" t="n">
        <x:v>179</x:v>
      </x:c>
      <x:c r="G178" t="str">
        <x:v>2023-02-16</x:v>
      </x:c>
      <x:c r="H178" t="str">
        <x:v>https://s26.q4cdn.com/410417801/files/doc_financials/2022/ar/B/Travelers-2022-Annual-Report-pdf.pdf</x:v>
      </x:c>
      <x:c r="I178" t="str">
        <x:v>https://www.sec.gov/Archives/edgar/data/86312/000008631223000011/0000086312-23-000011-index.htm</x:v>
      </x:c>
      <x:c r="J178" t="str">
        <x:v>294fc17bdf196969c710ce679ef9470ca87e3d059b50f898fe487e5c68dd107d</x:v>
      </x:c>
    </x:row>
    <x:row r="179">
      <x:c r="A179" t="n">
        <x:v>2021</x:v>
      </x:c>
      <x:c r="B179" t="str">
        <x:v>direct_written</x:v>
      </x:c>
      <x:c r="C179" s="1" t="n">
        <x:v>33180</x:v>
      </x:c>
      <x:c r="D179" t="str">
        <x:v>disclosed</x:v>
      </x:c>
      <x:c r="E179" t="str">
        <x:v>trv_ar_2022</x:v>
      </x:c>
      <x:c r="F179" t="n">
        <x:v>179</x:v>
      </x:c>
      <x:c r="G179" t="str">
        <x:v>2023-02-16</x:v>
      </x:c>
      <x:c r="H179" t="str">
        <x:v>https://s26.q4cdn.com/410417801/files/doc_financials/2022/ar/B/Travelers-2022-Annual-Report-pdf.pdf</x:v>
      </x:c>
      <x:c r="I179" t="str">
        <x:v>https://www.sec.gov/Archives/edgar/data/86312/000008631223000011/0000086312-23-000011-index.htm</x:v>
      </x:c>
      <x:c r="J179" t="str">
        <x:v>294fc17bdf196969c710ce679ef9470ca87e3d059b50f898fe487e5c68dd107d</x:v>
      </x:c>
    </x:row>
    <x:row r="180">
      <x:c r="A180" t="n">
        <x:v>2021</x:v>
      </x:c>
      <x:c r="B180" t="str">
        <x:v>dividends_cash</x:v>
      </x:c>
      <x:c r="C180" s="1" t="n">
        <x:v>869</x:v>
      </x:c>
      <x:c r="D180" t="str">
        <x:v>disclosed</x:v>
      </x:c>
      <x:c r="E180" t="str">
        <x:v>trv_ar_2022</x:v>
      </x:c>
      <x:c r="F180" t="n">
        <x:v>149</x:v>
      </x:c>
      <x:c r="G180" t="str">
        <x:v>2023-02-16</x:v>
      </x:c>
      <x:c r="H180" t="str">
        <x:v>https://s26.q4cdn.com/410417801/files/doc_financials/2022/ar/B/Travelers-2022-Annual-Report-pdf.pdf</x:v>
      </x:c>
      <x:c r="I180" t="str">
        <x:v>https://www.sec.gov/Archives/edgar/data/86312/000008631223000011/0000086312-23-000011-index.htm</x:v>
      </x:c>
      <x:c r="J180" t="str">
        <x:v>294fc17bdf196969c710ce679ef9470ca87e3d059b50f898fe487e5c68dd107d</x:v>
      </x:c>
    </x:row>
    <x:row r="181">
      <x:c r="A181" t="n">
        <x:v>2021</x:v>
      </x:c>
      <x:c r="B181" t="str">
        <x:v>employee_option_cash</x:v>
      </x:c>
      <x:c r="C181" s="1" t="n">
        <x:v>293</x:v>
      </x:c>
      <x:c r="D181" t="str">
        <x:v>disclosed</x:v>
      </x:c>
      <x:c r="E181" t="str">
        <x:v>trv_ar_2022</x:v>
      </x:c>
      <x:c r="F181" t="n">
        <x:v>149</x:v>
      </x:c>
      <x:c r="G181" t="str">
        <x:v>2023-02-16</x:v>
      </x:c>
      <x:c r="H181" t="str">
        <x:v>https://s26.q4cdn.com/410417801/files/doc_financials/2022/ar/B/Travelers-2022-Annual-Report-pdf.pdf</x:v>
      </x:c>
      <x:c r="I181" t="str">
        <x:v>https://www.sec.gov/Archives/edgar/data/86312/000008631223000011/0000086312-23-000011-index.htm</x:v>
      </x:c>
      <x:c r="J181" t="str">
        <x:v>294fc17bdf196969c710ce679ef9470ca87e3d059b50f898fe487e5c68dd107d</x:v>
      </x:c>
    </x:row>
    <x:row r="182">
      <x:c r="A182" t="n">
        <x:v>2021</x:v>
      </x:c>
      <x:c r="B182" t="str">
        <x:v>employee_share_net_cash</x:v>
      </x:c>
      <x:c r="C182" s="1" t="n">
        <x:v>44</x:v>
      </x:c>
      <x:c r="D182" t="str">
        <x:v>disclosed</x:v>
      </x:c>
      <x:c r="E182" t="str">
        <x:v>trv_ar_2022</x:v>
      </x:c>
      <x:c r="F182" t="n">
        <x:v>149</x:v>
      </x:c>
      <x:c r="G182" t="str">
        <x:v>2023-02-16</x:v>
      </x:c>
      <x:c r="H182" t="str">
        <x:v>https://s26.q4cdn.com/410417801/files/doc_financials/2022/ar/B/Travelers-2022-Annual-Report-pdf.pdf</x:v>
      </x:c>
      <x:c r="I182" t="str">
        <x:v>https://www.sec.gov/Archives/edgar/data/86312/000008631223000011/0000086312-23-000011-index.htm</x:v>
      </x:c>
      <x:c r="J182" t="str">
        <x:v>294fc17bdf196969c710ce679ef9470ca87e3d059b50f898fe487e5c68dd107d</x:v>
      </x:c>
    </x:row>
    <x:row r="183">
      <x:c r="A183" t="n">
        <x:v>2021</x:v>
      </x:c>
      <x:c r="B183" t="str">
        <x:v>employee_shares_equity</x:v>
      </x:c>
      <x:c r="C183" s="1" t="n">
        <x:v>247</x:v>
      </x:c>
      <x:c r="D183" t="str">
        <x:v>disclosed</x:v>
      </x:c>
      <x:c r="E183" t="str">
        <x:v>trv_ar_2022</x:v>
      </x:c>
      <x:c r="F183" t="n">
        <x:v>148</x:v>
      </x:c>
      <x:c r="G183" t="str">
        <x:v>2023-02-16</x:v>
      </x:c>
      <x:c r="H183" t="str">
        <x:v>https://s26.q4cdn.com/410417801/files/doc_financials/2022/ar/B/Travelers-2022-Annual-Report-pdf.pdf</x:v>
      </x:c>
      <x:c r="I183" t="str">
        <x:v>https://www.sec.gov/Archives/edgar/data/86312/000008631223000011/0000086312-23-000011-index.htm</x:v>
      </x:c>
      <x:c r="J183" t="str">
        <x:v>294fc17bdf196969c710ce679ef9470ca87e3d059b50f898fe487e5c68dd107d</x:v>
      </x:c>
    </x:row>
    <x:row r="184">
      <x:c r="A184" t="n">
        <x:v>2021</x:v>
      </x:c>
      <x:c r="B184" t="str">
        <x:v>equity</x:v>
      </x:c>
      <x:c r="C184" s="1" t="n">
        <x:v>28887</x:v>
      </x:c>
      <x:c r="D184" t="str">
        <x:v>disclosed</x:v>
      </x:c>
      <x:c r="E184" t="str">
        <x:v>trv_ar_2021</x:v>
      </x:c>
      <x:c r="F184" t="n">
        <x:v>146</x:v>
      </x:c>
      <x:c r="G184" t="str">
        <x:v>2022-02-17</x:v>
      </x:c>
      <x:c r="H184" t="str">
        <x:v>https://s26.q4cdn.com/410417801/files/doc_financials/2021/ar/Travelers-2021-Annual-Report.pdf</x:v>
      </x:c>
      <x:c r="I184" t="str">
        <x:v>https://www.sec.gov/Archives/edgar/data/86312/000008631222000013/0000086312-22-000013-index.htm</x:v>
      </x:c>
      <x:c r="J184" t="str">
        <x:v>3e42291a1ec9a7e2d27596f4d839cf36f538eeec1d16b3dbf718001c3471c92c</x:v>
      </x:c>
    </x:row>
    <x:row r="185">
      <x:c r="A185" t="n">
        <x:v>2021</x:v>
      </x:c>
      <x:c r="B185" t="str">
        <x:v>equity_buybacks_authorized</x:v>
      </x:c>
      <x:c r="C185" s="1" t="n">
        <x:v>2156</x:v>
      </x:c>
      <x:c r="D185" t="str">
        <x:v>disclosed</x:v>
      </x:c>
      <x:c r="E185" t="str">
        <x:v>trv_ar_2022</x:v>
      </x:c>
      <x:c r="F185" t="n">
        <x:v>148</x:v>
      </x:c>
      <x:c r="G185" t="str">
        <x:v>2023-02-16</x:v>
      </x:c>
      <x:c r="H185" t="str">
        <x:v>https://s26.q4cdn.com/410417801/files/doc_financials/2022/ar/B/Travelers-2022-Annual-Report-pdf.pdf</x:v>
      </x:c>
      <x:c r="I185" t="str">
        <x:v>https://www.sec.gov/Archives/edgar/data/86312/000008631223000011/0000086312-23-000011-index.htm</x:v>
      </x:c>
      <x:c r="J185" t="str">
        <x:v>294fc17bdf196969c710ce679ef9470ca87e3d059b50f898fe487e5c68dd107d</x:v>
      </x:c>
    </x:row>
    <x:row r="186">
      <x:c r="A186" t="n">
        <x:v>2021</x:v>
      </x:c>
      <x:c r="B186" t="str">
        <x:v>equity_dividends</x:v>
      </x:c>
      <x:c r="C186" s="1" t="n">
        <x:v>876</x:v>
      </x:c>
      <x:c r="D186" t="str">
        <x:v>disclosed</x:v>
      </x:c>
      <x:c r="E186" t="str">
        <x:v>trv_ar_2022</x:v>
      </x:c>
      <x:c r="F186" t="n">
        <x:v>148</x:v>
      </x:c>
      <x:c r="G186" t="str">
        <x:v>2023-02-16</x:v>
      </x:c>
      <x:c r="H186" t="str">
        <x:v>https://s26.q4cdn.com/410417801/files/doc_financials/2022/ar/B/Travelers-2022-Annual-Report-pdf.pdf</x:v>
      </x:c>
      <x:c r="I186" t="str">
        <x:v>https://www.sec.gov/Archives/edgar/data/86312/000008631223000011/0000086312-23-000011-index.htm</x:v>
      </x:c>
      <x:c r="J186" t="str">
        <x:v>294fc17bdf196969c710ce679ef9470ca87e3d059b50f898fe487e5c68dd107d</x:v>
      </x:c>
    </x:row>
    <x:row r="187">
      <x:c r="A187" t="n">
        <x:v>2021</x:v>
      </x:c>
      <x:c r="B187" t="str">
        <x:v>equity_employee_treasury</x:v>
      </x:c>
      <x:c r="C187" s="1" t="n">
        <x:v>44</x:v>
      </x:c>
      <x:c r="D187" t="str">
        <x:v>disclosed</x:v>
      </x:c>
      <x:c r="E187" t="str">
        <x:v>trv_ar_2022</x:v>
      </x:c>
      <x:c r="F187" t="n">
        <x:v>148</x:v>
      </x:c>
      <x:c r="G187" t="str">
        <x:v>2023-02-16</x:v>
      </x:c>
      <x:c r="H187" t="str">
        <x:v>https://s26.q4cdn.com/410417801/files/doc_financials/2022/ar/B/Travelers-2022-Annual-Report-pdf.pdf</x:v>
      </x:c>
      <x:c r="I187" t="str">
        <x:v>https://www.sec.gov/Archives/edgar/data/86312/000008631223000011/0000086312-23-000011-index.htm</x:v>
      </x:c>
      <x:c r="J187" t="str">
        <x:v>294fc17bdf196969c710ce679ef9470ca87e3d059b50f898fe487e5c68dd107d</x:v>
      </x:c>
    </x:row>
    <x:row r="188">
      <x:c r="A188" t="n">
        <x:v>2021</x:v>
      </x:c>
      <x:c r="B188" t="str">
        <x:v>equity_investments</x:v>
      </x:c>
      <x:c r="C188" s="1" t="n">
        <x:v>893</x:v>
      </x:c>
      <x:c r="D188" t="str">
        <x:v>disclosed</x:v>
      </x:c>
      <x:c r="E188" t="str">
        <x:v>trv_ar_2021</x:v>
      </x:c>
      <x:c r="F188" t="n">
        <x:v>146</x:v>
      </x:c>
      <x:c r="G188" t="str">
        <x:v>2022-02-17</x:v>
      </x:c>
      <x:c r="H188" t="str">
        <x:v>https://s26.q4cdn.com/410417801/files/doc_financials/2021/ar/Travelers-2021-Annual-Report.pdf</x:v>
      </x:c>
      <x:c r="I188" t="str">
        <x:v>https://www.sec.gov/Archives/edgar/data/86312/000008631222000013/0000086312-22-000013-index.htm</x:v>
      </x:c>
      <x:c r="J188" t="str">
        <x:v>3e42291a1ec9a7e2d27596f4d839cf36f538eeec1d16b3dbf718001c3471c92c</x:v>
      </x:c>
    </x:row>
    <x:row r="189">
      <x:c r="A189" t="n">
        <x:v>2021</x:v>
      </x:c>
      <x:c r="B189" t="str">
        <x:v>equity_security_purchases</x:v>
      </x:c>
      <x:c r="C189" s="1" t="n">
        <x:v>407</x:v>
      </x:c>
      <x:c r="D189" t="str">
        <x:v>disclosed</x:v>
      </x:c>
      <x:c r="E189" t="str">
        <x:v>trv_ar_2022</x:v>
      </x:c>
      <x:c r="F189" t="n">
        <x:v>149</x:v>
      </x:c>
      <x:c r="G189" t="str">
        <x:v>2023-02-16</x:v>
      </x:c>
      <x:c r="H189" t="str">
        <x:v>https://s26.q4cdn.com/410417801/files/doc_financials/2022/ar/B/Travelers-2022-Annual-Report-pdf.pdf</x:v>
      </x:c>
      <x:c r="I189" t="str">
        <x:v>https://www.sec.gov/Archives/edgar/data/86312/000008631223000011/0000086312-23-000011-index.htm</x:v>
      </x:c>
      <x:c r="J189" t="str">
        <x:v>294fc17bdf196969c710ce679ef9470ca87e3d059b50f898fe487e5c68dd107d</x:v>
      </x:c>
    </x:row>
    <x:row r="190">
      <x:c r="A190" t="n">
        <x:v>2021</x:v>
      </x:c>
      <x:c r="B190" t="str">
        <x:v>equity_security_sale_proceeds</x:v>
      </x:c>
      <x:c r="C190" s="1" t="n">
        <x:v>102</x:v>
      </x:c>
      <x:c r="D190" t="str">
        <x:v>disclosed</x:v>
      </x:c>
      <x:c r="E190" t="str">
        <x:v>trv_ar_2022</x:v>
      </x:c>
      <x:c r="F190" t="n">
        <x:v>149</x:v>
      </x:c>
      <x:c r="G190" t="str">
        <x:v>2023-02-16</x:v>
      </x:c>
      <x:c r="H190" t="str">
        <x:v>https://s26.q4cdn.com/410417801/files/doc_financials/2022/ar/B/Travelers-2022-Annual-Report-pdf.pdf</x:v>
      </x:c>
      <x:c r="I190" t="str">
        <x:v>https://www.sec.gov/Archives/edgar/data/86312/000008631223000011/0000086312-23-000011-index.htm</x:v>
      </x:c>
      <x:c r="J190" t="str">
        <x:v>294fc17bdf196969c710ce679ef9470ca87e3d059b50f898fe487e5c68dd107d</x:v>
      </x:c>
    </x:row>
    <x:row r="191">
      <x:c r="A191" t="n">
        <x:v>2021</x:v>
      </x:c>
      <x:c r="B191" t="str">
        <x:v>fee_income</x:v>
      </x:c>
      <x:c r="C191" s="1" t="n">
        <x:v>402</x:v>
      </x:c>
      <x:c r="D191" t="str">
        <x:v>disclosed</x:v>
      </x:c>
      <x:c r="E191" t="str">
        <x:v>trv_ar_2022</x:v>
      </x:c>
      <x:c r="F191" t="n">
        <x:v>145</x:v>
      </x:c>
      <x:c r="G191" t="str">
        <x:v>2023-02-16</x:v>
      </x:c>
      <x:c r="H191" t="str">
        <x:v>https://s26.q4cdn.com/410417801/files/doc_financials/2022/ar/B/Travelers-2022-Annual-Report-pdf.pdf</x:v>
      </x:c>
      <x:c r="I191" t="str">
        <x:v>https://www.sec.gov/Archives/edgar/data/86312/000008631223000011/0000086312-23-000011-index.htm</x:v>
      </x:c>
      <x:c r="J191" t="str">
        <x:v>294fc17bdf196969c710ce679ef9470ca87e3d059b50f898fe487e5c68dd107d</x:v>
      </x:c>
    </x:row>
    <x:row r="192">
      <x:c r="A192" t="n">
        <x:v>2021</x:v>
      </x:c>
      <x:c r="B192" t="str">
        <x:v>fixed_maturity_cost</x:v>
      </x:c>
      <x:c r="C192" s="1" t="n">
        <x:v>74751</x:v>
      </x:c>
      <x:c r="D192" t="str">
        <x:v>disclosed</x:v>
      </x:c>
      <x:c r="E192" t="str">
        <x:v>trv_ar_2021</x:v>
      </x:c>
      <x:c r="F192" t="n">
        <x:v>146</x:v>
      </x:c>
      <x:c r="G192" t="str">
        <x:v>2022-02-17</x:v>
      </x:c>
      <x:c r="H192" t="str">
        <x:v>https://s26.q4cdn.com/410417801/files/doc_financials/2021/ar/Travelers-2021-Annual-Report.pdf</x:v>
      </x:c>
      <x:c r="I192" t="str">
        <x:v>https://www.sec.gov/Archives/edgar/data/86312/000008631222000013/0000086312-22-000013-index.htm</x:v>
      </x:c>
      <x:c r="J192" t="str">
        <x:v>3e42291a1ec9a7e2d27596f4d839cf36f538eeec1d16b3dbf718001c3471c92c</x:v>
      </x:c>
    </x:row>
    <x:row r="193">
      <x:c r="A193" t="n">
        <x:v>2021</x:v>
      </x:c>
      <x:c r="B193" t="str">
        <x:v>fixed_maturity_fair</x:v>
      </x:c>
      <x:c r="C193" s="1" t="n">
        <x:v>77810</x:v>
      </x:c>
      <x:c r="D193" t="str">
        <x:v>disclosed</x:v>
      </x:c>
      <x:c r="E193" t="str">
        <x:v>trv_ar_2021</x:v>
      </x:c>
      <x:c r="F193" t="n">
        <x:v>146</x:v>
      </x:c>
      <x:c r="G193" t="str">
        <x:v>2022-02-17</x:v>
      </x:c>
      <x:c r="H193" t="str">
        <x:v>https://s26.q4cdn.com/410417801/files/doc_financials/2021/ar/Travelers-2021-Annual-Report.pdf</x:v>
      </x:c>
      <x:c r="I193" t="str">
        <x:v>https://www.sec.gov/Archives/edgar/data/86312/000008631222000013/0000086312-22-000013-index.htm</x:v>
      </x:c>
      <x:c r="J193" t="str">
        <x:v>3e42291a1ec9a7e2d27596f4d839cf36f538eeec1d16b3dbf718001c3471c92c</x:v>
      </x:c>
    </x:row>
    <x:row r="194">
      <x:c r="A194" t="n">
        <x:v>2021</x:v>
      </x:c>
      <x:c r="B194" t="str">
        <x:v>fixed_maturity_maturities</x:v>
      </x:c>
      <x:c r="C194" s="1" t="n">
        <x:v>8852</x:v>
      </x:c>
      <x:c r="D194" t="str">
        <x:v>disclosed</x:v>
      </x:c>
      <x:c r="E194" t="str">
        <x:v>trv_ar_2022</x:v>
      </x:c>
      <x:c r="F194" t="n">
        <x:v>149</x:v>
      </x:c>
      <x:c r="G194" t="str">
        <x:v>2023-02-16</x:v>
      </x:c>
      <x:c r="H194" t="str">
        <x:v>https://s26.q4cdn.com/410417801/files/doc_financials/2022/ar/B/Travelers-2022-Annual-Report-pdf.pdf</x:v>
      </x:c>
      <x:c r="I194" t="str">
        <x:v>https://www.sec.gov/Archives/edgar/data/86312/000008631223000011/0000086312-23-000011-index.htm</x:v>
      </x:c>
      <x:c r="J194" t="str">
        <x:v>294fc17bdf196969c710ce679ef9470ca87e3d059b50f898fe487e5c68dd107d</x:v>
      </x:c>
    </x:row>
    <x:row r="195">
      <x:c r="A195" t="n">
        <x:v>2021</x:v>
      </x:c>
      <x:c r="B195" t="str">
        <x:v>fixed_maturity_purchases</x:v>
      </x:c>
      <x:c r="C195" s="1" t="n">
        <x:v>18153</x:v>
      </x:c>
      <x:c r="D195" t="str">
        <x:v>disclosed</x:v>
      </x:c>
      <x:c r="E195" t="str">
        <x:v>trv_ar_2022</x:v>
      </x:c>
      <x:c r="F195" t="n">
        <x:v>149</x:v>
      </x:c>
      <x:c r="G195" t="str">
        <x:v>2023-02-16</x:v>
      </x:c>
      <x:c r="H195" t="str">
        <x:v>https://s26.q4cdn.com/410417801/files/doc_financials/2022/ar/B/Travelers-2022-Annual-Report-pdf.pdf</x:v>
      </x:c>
      <x:c r="I195" t="str">
        <x:v>https://www.sec.gov/Archives/edgar/data/86312/000008631223000011/0000086312-23-000011-index.htm</x:v>
      </x:c>
      <x:c r="J195" t="str">
        <x:v>294fc17bdf196969c710ce679ef9470ca87e3d059b50f898fe487e5c68dd107d</x:v>
      </x:c>
    </x:row>
    <x:row r="196">
      <x:c r="A196" t="n">
        <x:v>2021</x:v>
      </x:c>
      <x:c r="B196" t="str">
        <x:v>fixed_maturity_sale_proceeds</x:v>
      </x:c>
      <x:c r="C196" s="1" t="n">
        <x:v>3165</x:v>
      </x:c>
      <x:c r="D196" t="str">
        <x:v>disclosed</x:v>
      </x:c>
      <x:c r="E196" t="str">
        <x:v>trv_ar_2022</x:v>
      </x:c>
      <x:c r="F196" t="n">
        <x:v>149</x:v>
      </x:c>
      <x:c r="G196" t="str">
        <x:v>2023-02-16</x:v>
      </x:c>
      <x:c r="H196" t="str">
        <x:v>https://s26.q4cdn.com/410417801/files/doc_financials/2022/ar/B/Travelers-2022-Annual-Report-pdf.pdf</x:v>
      </x:c>
      <x:c r="I196" t="str">
        <x:v>https://www.sec.gov/Archives/edgar/data/86312/000008631223000011/0000086312-23-000011-index.htm</x:v>
      </x:c>
      <x:c r="J196" t="str">
        <x:v>294fc17bdf196969c710ce679ef9470ca87e3d059b50f898fe487e5c68dd107d</x:v>
      </x:c>
    </x:row>
    <x:row r="197">
      <x:c r="A197" t="n">
        <x:v>2021</x:v>
      </x:c>
      <x:c r="B197" t="str">
        <x:v>general_admin</x:v>
      </x:c>
      <x:c r="C197" s="1" t="n">
        <x:v>4677</x:v>
      </x:c>
      <x:c r="D197" t="str">
        <x:v>disclosed</x:v>
      </x:c>
      <x:c r="E197" t="str">
        <x:v>trv_ar_2022</x:v>
      </x:c>
      <x:c r="F197" t="n">
        <x:v>145</x:v>
      </x:c>
      <x:c r="G197" t="str">
        <x:v>2023-02-16</x:v>
      </x:c>
      <x:c r="H197" t="str">
        <x:v>https://s26.q4cdn.com/410417801/files/doc_financials/2022/ar/B/Travelers-2022-Annual-Report-pdf.pdf</x:v>
      </x:c>
      <x:c r="I197" t="str">
        <x:v>https://www.sec.gov/Archives/edgar/data/86312/000008631223000011/0000086312-23-000011-index.htm</x:v>
      </x:c>
      <x:c r="J197" t="str">
        <x:v>294fc17bdf196969c710ce679ef9470ca87e3d059b50f898fe487e5c68dd107d</x:v>
      </x:c>
    </x:row>
    <x:row r="198">
      <x:c r="A198" t="n">
        <x:v>2021</x:v>
      </x:c>
      <x:c r="B198" t="str">
        <x:v>goodwill</x:v>
      </x:c>
      <x:c r="C198" s="1" t="n">
        <x:v>4008</x:v>
      </x:c>
      <x:c r="D198" t="str">
        <x:v>disclosed</x:v>
      </x:c>
      <x:c r="E198" t="str">
        <x:v>trv_ar_2021</x:v>
      </x:c>
      <x:c r="F198" t="n">
        <x:v>146</x:v>
      </x:c>
      <x:c r="G198" t="str">
        <x:v>2022-02-17</x:v>
      </x:c>
      <x:c r="H198" t="str">
        <x:v>https://s26.q4cdn.com/410417801/files/doc_financials/2021/ar/Travelers-2021-Annual-Report.pdf</x:v>
      </x:c>
      <x:c r="I198" t="str">
        <x:v>https://www.sec.gov/Archives/edgar/data/86312/000008631222000013/0000086312-22-000013-index.htm</x:v>
      </x:c>
      <x:c r="J198" t="str">
        <x:v>3e42291a1ec9a7e2d27596f4d839cf36f538eeec1d16b3dbf718001c3471c92c</x:v>
      </x:c>
    </x:row>
    <x:row r="199">
      <x:c r="A199" t="n">
        <x:v>2021</x:v>
      </x:c>
      <x:c r="B199" t="str">
        <x:v>gross_earned</x:v>
      </x:c>
      <x:c r="C199" s="1" t="n">
        <x:v>33009</x:v>
      </x:c>
      <x:c r="D199" t="str">
        <x:v>derived</x:v>
      </x:c>
      <x:c r="E199" t="str">
        <x:v>trv_ar_2022</x:v>
      </x:c>
      <x:c r="F199" t="n">
        <x:v>179</x:v>
      </x:c>
      <x:c r="G199" t="str">
        <x:v>2023-02-16</x:v>
      </x:c>
      <x:c r="H199" t="str">
        <x:v>https://s26.q4cdn.com/410417801/files/doc_financials/2022/ar/B/Travelers-2022-Annual-Report-pdf.pdf</x:v>
      </x:c>
      <x:c r="I199" t="str">
        <x:v>https://www.sec.gov/Archives/edgar/data/86312/000008631223000011/0000086312-23-000011-index.htm</x:v>
      </x:c>
      <x:c r="J199" t="str">
        <x:v>294fc17bdf196969c710ce679ef9470ca87e3d059b50f898fe487e5c68dd107d</x:v>
      </x:c>
    </x:row>
    <x:row r="200">
      <x:c r="A200" t="n">
        <x:v>2021</x:v>
      </x:c>
      <x:c r="B200" t="str">
        <x:v>gross_reserves</x:v>
      </x:c>
      <x:c r="C200" s="1" t="n">
        <x:v>56897</x:v>
      </x:c>
      <x:c r="D200" t="str">
        <x:v>disclosed</x:v>
      </x:c>
      <x:c r="E200" t="str">
        <x:v>trv_ar_2021</x:v>
      </x:c>
      <x:c r="F200" t="n">
        <x:v>182</x:v>
      </x:c>
      <x:c r="G200" t="str">
        <x:v>2022-02-17</x:v>
      </x:c>
      <x:c r="H200" t="str">
        <x:v>https://s26.q4cdn.com/410417801/files/doc_financials/2021/ar/Travelers-2021-Annual-Report.pdf</x:v>
      </x:c>
      <x:c r="I200" t="str">
        <x:v>https://www.sec.gov/Archives/edgar/data/86312/000008631222000013/0000086312-22-000013-index.htm</x:v>
      </x:c>
      <x:c r="J200" t="str">
        <x:v>3e42291a1ec9a7e2d27596f4d839cf36f538eeec1d16b3dbf718001c3471c92c</x:v>
      </x:c>
    </x:row>
    <x:row r="201">
      <x:c r="A201" t="n">
        <x:v>2021</x:v>
      </x:c>
      <x:c r="B201" t="str">
        <x:v>gross_upr</x:v>
      </x:c>
      <x:c r="C201" s="1" t="n">
        <x:v>16469</x:v>
      </x:c>
      <x:c r="D201" t="str">
        <x:v>disclosed</x:v>
      </x:c>
      <x:c r="E201" t="str">
        <x:v>trv_ar_2021</x:v>
      </x:c>
      <x:c r="F201" t="n">
        <x:v>146</x:v>
      </x:c>
      <x:c r="G201" t="str">
        <x:v>2022-02-17</x:v>
      </x:c>
      <x:c r="H201" t="str">
        <x:v>https://s26.q4cdn.com/410417801/files/doc_financials/2021/ar/Travelers-2021-Annual-Report.pdf</x:v>
      </x:c>
      <x:c r="I201" t="str">
        <x:v>https://www.sec.gov/Archives/edgar/data/86312/000008631222000013/0000086312-22-000013-index.htm</x:v>
      </x:c>
      <x:c r="J201" t="str">
        <x:v>3e42291a1ec9a7e2d27596f4d839cf36f538eeec1d16b3dbf718001c3471c92c</x:v>
      </x:c>
    </x:row>
    <x:row r="202">
      <x:c r="A202" t="n">
        <x:v>2021</x:v>
      </x:c>
      <x:c r="B202" t="str">
        <x:v>gwp</x:v>
      </x:c>
      <x:c r="C202" s="1" t="n">
        <x:v>34244</x:v>
      </x:c>
      <x:c r="D202" t="str">
        <x:v>derived</x:v>
      </x:c>
      <x:c r="E202" t="str">
        <x:v>trv_ar_2022</x:v>
      </x:c>
      <x:c r="F202" t="n">
        <x:v>179</x:v>
      </x:c>
      <x:c r="G202" t="str">
        <x:v>2023-02-16</x:v>
      </x:c>
      <x:c r="H202" t="str">
        <x:v>https://s26.q4cdn.com/410417801/files/doc_financials/2022/ar/B/Travelers-2022-Annual-Report-pdf.pdf</x:v>
      </x:c>
      <x:c r="I202" t="str">
        <x:v>https://www.sec.gov/Archives/edgar/data/86312/000008631223000011/0000086312-23-000011-index.htm</x:v>
      </x:c>
      <x:c r="J202" t="str">
        <x:v>294fc17bdf196969c710ce679ef9470ca87e3d059b50f898fe487e5c68dd107d</x:v>
      </x:c>
    </x:row>
    <x:row r="203">
      <x:c r="A203" t="n">
        <x:v>2021</x:v>
      </x:c>
      <x:c r="B203" t="str">
        <x:v>intangible_assets</x:v>
      </x:c>
      <x:c r="C203" s="1" t="n">
        <x:v>306</x:v>
      </x:c>
      <x:c r="D203" t="str">
        <x:v>disclosed</x:v>
      </x:c>
      <x:c r="E203" t="str">
        <x:v>trv_ar_2021</x:v>
      </x:c>
      <x:c r="F203" t="n">
        <x:v>146</x:v>
      </x:c>
      <x:c r="G203" t="str">
        <x:v>2022-02-17</x:v>
      </x:c>
      <x:c r="H203" t="str">
        <x:v>https://s26.q4cdn.com/410417801/files/doc_financials/2021/ar/Travelers-2021-Annual-Report.pdf</x:v>
      </x:c>
      <x:c r="I203" t="str">
        <x:v>https://www.sec.gov/Archives/edgar/data/86312/000008631222000013/0000086312-22-000013-index.htm</x:v>
      </x:c>
      <x:c r="J203" t="str">
        <x:v>3e42291a1ec9a7e2d27596f4d839cf36f538eeec1d16b3dbf718001c3471c92c</x:v>
      </x:c>
    </x:row>
    <x:row r="204">
      <x:c r="A204" t="n">
        <x:v>2021</x:v>
      </x:c>
      <x:c r="B204" t="str">
        <x:v>interest_expense</x:v>
      </x:c>
      <x:c r="C204" s="1" t="n">
        <x:v>340</x:v>
      </x:c>
      <x:c r="D204" t="str">
        <x:v>disclosed</x:v>
      </x:c>
      <x:c r="E204" t="str">
        <x:v>trv_ar_2022</x:v>
      </x:c>
      <x:c r="F204" t="n">
        <x:v>145</x:v>
      </x:c>
      <x:c r="G204" t="str">
        <x:v>2023-02-16</x:v>
      </x:c>
      <x:c r="H204" t="str">
        <x:v>https://s26.q4cdn.com/410417801/files/doc_financials/2022/ar/B/Travelers-2022-Annual-Report-pdf.pdf</x:v>
      </x:c>
      <x:c r="I204" t="str">
        <x:v>https://www.sec.gov/Archives/edgar/data/86312/000008631223000011/0000086312-23-000011-index.htm</x:v>
      </x:c>
      <x:c r="J204" t="str">
        <x:v>294fc17bdf196969c710ce679ef9470ca87e3d059b50f898fe487e5c68dd107d</x:v>
      </x:c>
    </x:row>
    <x:row r="205">
      <x:c r="A205" t="n">
        <x:v>2021</x:v>
      </x:c>
      <x:c r="B205" t="str">
        <x:v>investment_income</x:v>
      </x:c>
      <x:c r="C205" s="1" t="n">
        <x:v>3033</x:v>
      </x:c>
      <x:c r="D205" t="str">
        <x:v>disclosed</x:v>
      </x:c>
      <x:c r="E205" t="str">
        <x:v>trv_ar_2022</x:v>
      </x:c>
      <x:c r="F205" t="n">
        <x:v>145</x:v>
      </x:c>
      <x:c r="G205" t="str">
        <x:v>2023-02-16</x:v>
      </x:c>
      <x:c r="H205" t="str">
        <x:v>https://s26.q4cdn.com/410417801/files/doc_financials/2022/ar/B/Travelers-2022-Annual-Report-pdf.pdf</x:v>
      </x:c>
      <x:c r="I205" t="str">
        <x:v>https://www.sec.gov/Archives/edgar/data/86312/000008631223000011/0000086312-23-000011-index.htm</x:v>
      </x:c>
      <x:c r="J205" t="str">
        <x:v>294fc17bdf196969c710ce679ef9470ca87e3d059b50f898fe487e5c68dd107d</x:v>
      </x:c>
    </x:row>
    <x:row r="206">
      <x:c r="A206" t="n">
        <x:v>2021</x:v>
      </x:c>
      <x:c r="B206" t="str">
        <x:v>nep</x:v>
      </x:c>
      <x:c r="C206" s="1" t="n">
        <x:v>30855</x:v>
      </x:c>
      <x:c r="D206" t="str">
        <x:v>disclosed</x:v>
      </x:c>
      <x:c r="E206" t="str">
        <x:v>trv_ar_2022</x:v>
      </x:c>
      <x:c r="F206" t="n">
        <x:v>179</x:v>
      </x:c>
      <x:c r="G206" t="str">
        <x:v>2023-02-16</x:v>
      </x:c>
      <x:c r="H206" t="str">
        <x:v>https://s26.q4cdn.com/410417801/files/doc_financials/2022/ar/B/Travelers-2022-Annual-Report-pdf.pdf</x:v>
      </x:c>
      <x:c r="I206" t="str">
        <x:v>https://www.sec.gov/Archives/edgar/data/86312/000008631223000011/0000086312-23-000011-index.htm</x:v>
      </x:c>
      <x:c r="J206" t="str">
        <x:v>294fc17bdf196969c710ce679ef9470ca87e3d059b50f898fe487e5c68dd107d</x:v>
      </x:c>
    </x:row>
    <x:row r="207">
      <x:c r="A207" t="n">
        <x:v>2021</x:v>
      </x:c>
      <x:c r="B207" t="str">
        <x:v>net_income</x:v>
      </x:c>
      <x:c r="C207" s="1" t="n">
        <x:v>3662</x:v>
      </x:c>
      <x:c r="D207" t="str">
        <x:v>disclosed</x:v>
      </x:c>
      <x:c r="E207" t="str">
        <x:v>trv_ar_2022</x:v>
      </x:c>
      <x:c r="F207" t="n">
        <x:v>145</x:v>
      </x:c>
      <x:c r="G207" t="str">
        <x:v>2023-02-16</x:v>
      </x:c>
      <x:c r="H207" t="str">
        <x:v>https://s26.q4cdn.com/410417801/files/doc_financials/2022/ar/B/Travelers-2022-Annual-Report-pdf.pdf</x:v>
      </x:c>
      <x:c r="I207" t="str">
        <x:v>https://www.sec.gov/Archives/edgar/data/86312/000008631223000011/0000086312-23-000011-index.htm</x:v>
      </x:c>
      <x:c r="J207" t="str">
        <x:v>294fc17bdf196969c710ce679ef9470ca87e3d059b50f898fe487e5c68dd107d</x:v>
      </x:c>
    </x:row>
    <x:row r="208">
      <x:c r="A208" t="n">
        <x:v>2021</x:v>
      </x:c>
      <x:c r="B208" t="str">
        <x:v>net_reserves</x:v>
      </x:c>
      <x:c r="C208" s="1" t="n">
        <x:v>48688</x:v>
      </x:c>
      <x:c r="D208" t="str">
        <x:v>disclosed</x:v>
      </x:c>
      <x:c r="E208" t="str">
        <x:v>trv_ar_2021</x:v>
      </x:c>
      <x:c r="F208" t="n">
        <x:v>182</x:v>
      </x:c>
      <x:c r="G208" t="str">
        <x:v>2022-02-17</x:v>
      </x:c>
      <x:c r="H208" t="str">
        <x:v>https://s26.q4cdn.com/410417801/files/doc_financials/2021/ar/Travelers-2021-Annual-Report.pdf</x:v>
      </x:c>
      <x:c r="I208" t="str">
        <x:v>https://www.sec.gov/Archives/edgar/data/86312/000008631222000013/0000086312-22-000013-index.htm</x:v>
      </x:c>
      <x:c r="J208" t="str">
        <x:v>3e42291a1ec9a7e2d27596f4d839cf36f538eeec1d16b3dbf718001c3471c92c</x:v>
      </x:c>
    </x:row>
    <x:row r="209">
      <x:c r="A209" t="n">
        <x:v>2021</x:v>
      </x:c>
      <x:c r="B209" t="str">
        <x:v>net_upr</x:v>
      </x:c>
      <x:c r="C209" s="1" t="n">
        <x:v>15567</x:v>
      </x:c>
      <x:c r="D209" t="str">
        <x:v>derived</x:v>
      </x:c>
      <x:c r="E209" t="str">
        <x:v>trv_ar_2021</x:v>
      </x:c>
      <x:c r="F209" t="n">
        <x:v>146</x:v>
      </x:c>
      <x:c r="G209" t="str">
        <x:v>2022-02-17</x:v>
      </x:c>
      <x:c r="H209" t="str">
        <x:v>https://s26.q4cdn.com/410417801/files/doc_financials/2021/ar/Travelers-2021-Annual-Report.pdf</x:v>
      </x:c>
      <x:c r="I209" t="str">
        <x:v>https://www.sec.gov/Archives/edgar/data/86312/000008631222000013/0000086312-22-000013-index.htm</x:v>
      </x:c>
      <x:c r="J209" t="str">
        <x:v>3e42291a1ec9a7e2d27596f4d839cf36f538eeec1d16b3dbf718001c3471c92c</x:v>
      </x:c>
    </x:row>
    <x:row r="210">
      <x:c r="A210" t="n">
        <x:v>2021</x:v>
      </x:c>
      <x:c r="B210" t="str">
        <x:v>nwp</x:v>
      </x:c>
      <x:c r="C210" s="1" t="n">
        <x:v>31959</x:v>
      </x:c>
      <x:c r="D210" t="str">
        <x:v>disclosed</x:v>
      </x:c>
      <x:c r="E210" t="str">
        <x:v>trv_ar_2022</x:v>
      </x:c>
      <x:c r="F210" t="n">
        <x:v>179</x:v>
      </x:c>
      <x:c r="G210" t="str">
        <x:v>2023-02-16</x:v>
      </x:c>
      <x:c r="H210" t="str">
        <x:v>https://s26.q4cdn.com/410417801/files/doc_financials/2022/ar/B/Travelers-2022-Annual-Report-pdf.pdf</x:v>
      </x:c>
      <x:c r="I210" t="str">
        <x:v>https://www.sec.gov/Archives/edgar/data/86312/000008631223000011/0000086312-23-000011-index.htm</x:v>
      </x:c>
      <x:c r="J210" t="str">
        <x:v>294fc17bdf196969c710ce679ef9470ca87e3d059b50f898fe487e5c68dd107d</x:v>
      </x:c>
    </x:row>
    <x:row r="211">
      <x:c r="A211" t="n">
        <x:v>2021</x:v>
      </x:c>
      <x:c r="B211" t="str">
        <x:v>opening_equity</x:v>
      </x:c>
      <x:c r="C211" s="1" t="n">
        <x:v>29201</x:v>
      </x:c>
      <x:c r="D211" t="str">
        <x:v>derived</x:v>
      </x:c>
      <x:c r="E211" t="str">
        <x:v>trv_ar_2022</x:v>
      </x:c>
      <x:c r="F211" t="n">
        <x:v>148</x:v>
      </x:c>
      <x:c r="G211" t="str">
        <x:v>2023-02-16</x:v>
      </x:c>
      <x:c r="H211" t="str">
        <x:v>https://s26.q4cdn.com/410417801/files/doc_financials/2022/ar/B/Travelers-2022-Annual-Report-pdf.pdf</x:v>
      </x:c>
      <x:c r="I211" t="str">
        <x:v>https://www.sec.gov/Archives/edgar/data/86312/000008631223000011/0000086312-23-000011-index.htm</x:v>
      </x:c>
      <x:c r="J211" t="str">
        <x:v>294fc17bdf196969c710ce679ef9470ca87e3d059b50f898fe487e5c68dd107d</x:v>
      </x:c>
    </x:row>
    <x:row r="212">
      <x:c r="A212" t="n">
        <x:v>2021</x:v>
      </x:c>
      <x:c r="B212" t="str">
        <x:v>other_assets</x:v>
      </x:c>
      <x:c r="C212" s="1" t="n">
        <x:v>3530</x:v>
      </x:c>
      <x:c r="D212" t="str">
        <x:v>disclosed</x:v>
      </x:c>
      <x:c r="E212" t="str">
        <x:v>trv_ar_2021</x:v>
      </x:c>
      <x:c r="F212" t="n">
        <x:v>146</x:v>
      </x:c>
      <x:c r="G212" t="str">
        <x:v>2022-02-17</x:v>
      </x:c>
      <x:c r="H212" t="str">
        <x:v>https://s26.q4cdn.com/410417801/files/doc_financials/2021/ar/Travelers-2021-Annual-Report.pdf</x:v>
      </x:c>
      <x:c r="I212" t="str">
        <x:v>https://www.sec.gov/Archives/edgar/data/86312/000008631222000013/0000086312-22-000013-index.htm</x:v>
      </x:c>
      <x:c r="J212" t="str">
        <x:v>3e42291a1ec9a7e2d27596f4d839cf36f538eeec1d16b3dbf718001c3471c92c</x:v>
      </x:c>
    </x:row>
    <x:row r="213">
      <x:c r="A213" t="n">
        <x:v>2021</x:v>
      </x:c>
      <x:c r="B213" t="str">
        <x:v>other_investment_purchases</x:v>
      </x:c>
      <x:c r="C213" s="1" t="n">
        <x:v>520</x:v>
      </x:c>
      <x:c r="D213" t="str">
        <x:v>disclosed</x:v>
      </x:c>
      <x:c r="E213" t="str">
        <x:v>trv_ar_2022</x:v>
      </x:c>
      <x:c r="F213" t="n">
        <x:v>149</x:v>
      </x:c>
      <x:c r="G213" t="str">
        <x:v>2023-02-16</x:v>
      </x:c>
      <x:c r="H213" t="str">
        <x:v>https://s26.q4cdn.com/410417801/files/doc_financials/2022/ar/B/Travelers-2022-Annual-Report-pdf.pdf</x:v>
      </x:c>
      <x:c r="I213" t="str">
        <x:v>https://www.sec.gov/Archives/edgar/data/86312/000008631223000011/0000086312-23-000011-index.htm</x:v>
      </x:c>
      <x:c r="J213" t="str">
        <x:v>294fc17bdf196969c710ce679ef9470ca87e3d059b50f898fe487e5c68dd107d</x:v>
      </x:c>
    </x:row>
    <x:row r="214">
      <x:c r="A214" t="n">
        <x:v>2021</x:v>
      </x:c>
      <x:c r="B214" t="str">
        <x:v>other_investment_sale_proceeds</x:v>
      </x:c>
      <x:c r="C214" s="1" t="n">
        <x:v>427</x:v>
      </x:c>
      <x:c r="D214" t="str">
        <x:v>disclosed</x:v>
      </x:c>
      <x:c r="E214" t="str">
        <x:v>trv_ar_2022</x:v>
      </x:c>
      <x:c r="F214" t="n">
        <x:v>149</x:v>
      </x:c>
      <x:c r="G214" t="str">
        <x:v>2023-02-16</x:v>
      </x:c>
      <x:c r="H214" t="str">
        <x:v>https://s26.q4cdn.com/410417801/files/doc_financials/2022/ar/B/Travelers-2022-Annual-Report-pdf.pdf</x:v>
      </x:c>
      <x:c r="I214" t="str">
        <x:v>https://www.sec.gov/Archives/edgar/data/86312/000008631223000011/0000086312-23-000011-index.htm</x:v>
      </x:c>
      <x:c r="J214" t="str">
        <x:v>294fc17bdf196969c710ce679ef9470ca87e3d059b50f898fe487e5c68dd107d</x:v>
      </x:c>
    </x:row>
    <x:row r="215">
      <x:c r="A215" t="n">
        <x:v>2021</x:v>
      </x:c>
      <x:c r="B215" t="str">
        <x:v>other_investments</x:v>
      </x:c>
      <x:c r="C215" s="1" t="n">
        <x:v>3857</x:v>
      </x:c>
      <x:c r="D215" t="str">
        <x:v>disclosed</x:v>
      </x:c>
      <x:c r="E215" t="str">
        <x:v>trv_ar_2021</x:v>
      </x:c>
      <x:c r="F215" t="n">
        <x:v>146</x:v>
      </x:c>
      <x:c r="G215" t="str">
        <x:v>2022-02-17</x:v>
      </x:c>
      <x:c r="H215" t="str">
        <x:v>https://s26.q4cdn.com/410417801/files/doc_financials/2021/ar/Travelers-2021-Annual-Report.pdf</x:v>
      </x:c>
      <x:c r="I215" t="str">
        <x:v>https://www.sec.gov/Archives/edgar/data/86312/000008631222000013/0000086312-22-000013-index.htm</x:v>
      </x:c>
      <x:c r="J215" t="str">
        <x:v>3e42291a1ec9a7e2d27596f4d839cf36f538eeec1d16b3dbf718001c3471c92c</x:v>
      </x:c>
    </x:row>
    <x:row r="216">
      <x:c r="A216" t="n">
        <x:v>2021</x:v>
      </x:c>
      <x:c r="B216" t="str">
        <x:v>other_liabilities</x:v>
      </x:c>
      <x:c r="C216" s="1" t="n">
        <x:v>6329</x:v>
      </x:c>
      <x:c r="D216" t="str">
        <x:v>disclosed</x:v>
      </x:c>
      <x:c r="E216" t="str">
        <x:v>trv_ar_2021</x:v>
      </x:c>
      <x:c r="F216" t="n">
        <x:v>146</x:v>
      </x:c>
      <x:c r="G216" t="str">
        <x:v>2022-02-17</x:v>
      </x:c>
      <x:c r="H216" t="str">
        <x:v>https://s26.q4cdn.com/410417801/files/doc_financials/2021/ar/Travelers-2021-Annual-Report.pdf</x:v>
      </x:c>
      <x:c r="I216" t="str">
        <x:v>https://www.sec.gov/Archives/edgar/data/86312/000008631222000013/0000086312-22-000013-index.htm</x:v>
      </x:c>
      <x:c r="J216" t="str">
        <x:v>3e42291a1ec9a7e2d27596f4d839cf36f538eeec1d16b3dbf718001c3471c92c</x:v>
      </x:c>
    </x:row>
    <x:row r="217">
      <x:c r="A217" t="n">
        <x:v>2021</x:v>
      </x:c>
      <x:c r="B217" t="str">
        <x:v>other_revenue</x:v>
      </x:c>
      <x:c r="C217" s="1" t="n">
        <x:v>355</x:v>
      </x:c>
      <x:c r="D217" t="str">
        <x:v>disclosed</x:v>
      </x:c>
      <x:c r="E217" t="str">
        <x:v>trv_ar_2022</x:v>
      </x:c>
      <x:c r="F217" t="n">
        <x:v>145</x:v>
      </x:c>
      <x:c r="G217" t="str">
        <x:v>2023-02-16</x:v>
      </x:c>
      <x:c r="H217" t="str">
        <x:v>https://s26.q4cdn.com/410417801/files/doc_financials/2022/ar/B/Travelers-2022-Annual-Report-pdf.pdf</x:v>
      </x:c>
      <x:c r="I217" t="str">
        <x:v>https://www.sec.gov/Archives/edgar/data/86312/000008631223000011/0000086312-23-000011-index.htm</x:v>
      </x:c>
      <x:c r="J217" t="str">
        <x:v>294fc17bdf196969c710ce679ef9470ca87e3d059b50f898fe487e5c68dd107d</x:v>
      </x:c>
    </x:row>
    <x:row r="218">
      <x:c r="A218" t="n">
        <x:v>2021</x:v>
      </x:c>
      <x:c r="B218" t="str">
        <x:v>paid_current</x:v>
      </x:c>
      <x:c r="C218" s="1" t="n">
        <x:v>8401</x:v>
      </x:c>
      <x:c r="D218" t="str">
        <x:v>disclosed</x:v>
      </x:c>
      <x:c r="E218" t="str">
        <x:v>trv_ar_2021</x:v>
      </x:c>
      <x:c r="F218" t="n">
        <x:v>182</x:v>
      </x:c>
      <x:c r="G218" t="str">
        <x:v>2022-02-17</x:v>
      </x:c>
      <x:c r="H218" t="str">
        <x:v>https://s26.q4cdn.com/410417801/files/doc_financials/2021/ar/Travelers-2021-Annual-Report.pdf</x:v>
      </x:c>
      <x:c r="I218" t="str">
        <x:v>https://www.sec.gov/Archives/edgar/data/86312/000008631222000013/0000086312-22-000013-index.htm</x:v>
      </x:c>
      <x:c r="J218" t="str">
        <x:v>3e42291a1ec9a7e2d27596f4d839cf36f538eeec1d16b3dbf718001c3471c92c</x:v>
      </x:c>
    </x:row>
    <x:row r="219">
      <x:c r="A219" t="n">
        <x:v>2021</x:v>
      </x:c>
      <x:c r="B219" t="str">
        <x:v>paid_prior</x:v>
      </x:c>
      <x:c r="C219" s="1" t="n">
        <x:v>9470</x:v>
      </x:c>
      <x:c r="D219" t="str">
        <x:v>disclosed</x:v>
      </x:c>
      <x:c r="E219" t="str">
        <x:v>trv_ar_2021</x:v>
      </x:c>
      <x:c r="F219" t="n">
        <x:v>182</x:v>
      </x:c>
      <x:c r="G219" t="str">
        <x:v>2022-02-17</x:v>
      </x:c>
      <x:c r="H219" t="str">
        <x:v>https://s26.q4cdn.com/410417801/files/doc_financials/2021/ar/Travelers-2021-Annual-Report.pdf</x:v>
      </x:c>
      <x:c r="I219" t="str">
        <x:v>https://www.sec.gov/Archives/edgar/data/86312/000008631222000013/0000086312-22-000013-index.htm</x:v>
      </x:c>
      <x:c r="J219" t="str">
        <x:v>3e42291a1ec9a7e2d27596f4d839cf36f538eeec1d16b3dbf718001c3471c92c</x:v>
      </x:c>
    </x:row>
    <x:row r="220">
      <x:c r="A220" t="n">
        <x:v>2021</x:v>
      </x:c>
      <x:c r="B220" t="str">
        <x:v>premium_receivables</x:v>
      </x:c>
      <x:c r="C220" s="1" t="n">
        <x:v>8085</x:v>
      </x:c>
      <x:c r="D220" t="str">
        <x:v>disclosed</x:v>
      </x:c>
      <x:c r="E220" t="str">
        <x:v>trv_ar_2021</x:v>
      </x:c>
      <x:c r="F220" t="n">
        <x:v>146</x:v>
      </x:c>
      <x:c r="G220" t="str">
        <x:v>2022-02-17</x:v>
      </x:c>
      <x:c r="H220" t="str">
        <x:v>https://s26.q4cdn.com/410417801/files/doc_financials/2021/ar/Travelers-2021-Annual-Report.pdf</x:v>
      </x:c>
      <x:c r="I220" t="str">
        <x:v>https://www.sec.gov/Archives/edgar/data/86312/000008631222000013/0000086312-22-000013-index.htm</x:v>
      </x:c>
      <x:c r="J220" t="str">
        <x:v>3e42291a1ec9a7e2d27596f4d839cf36f538eeec1d16b3dbf718001c3471c92c</x:v>
      </x:c>
    </x:row>
    <x:row r="221">
      <x:c r="A221" t="n">
        <x:v>2021</x:v>
      </x:c>
      <x:c r="B221" t="str">
        <x:v>pretax_income</x:v>
      </x:c>
      <x:c r="C221" s="1" t="n">
        <x:v>4458</x:v>
      </x:c>
      <x:c r="D221" t="str">
        <x:v>disclosed</x:v>
      </x:c>
      <x:c r="E221" t="str">
        <x:v>trv_ar_2022</x:v>
      </x:c>
      <x:c r="F221" t="n">
        <x:v>145</x:v>
      </x:c>
      <x:c r="G221" t="str">
        <x:v>2023-02-16</x:v>
      </x:c>
      <x:c r="H221" t="str">
        <x:v>https://s26.q4cdn.com/410417801/files/doc_financials/2022/ar/B/Travelers-2022-Annual-Report-pdf.pdf</x:v>
      </x:c>
      <x:c r="I221" t="str">
        <x:v>https://www.sec.gov/Archives/edgar/data/86312/000008631223000011/0000086312-23-000011-index.htm</x:v>
      </x:c>
      <x:c r="J221" t="str">
        <x:v>294fc17bdf196969c710ce679ef9470ca87e3d059b50f898fe487e5c68dd107d</x:v>
      </x:c>
    </x:row>
    <x:row r="222">
      <x:c r="A222" t="n">
        <x:v>2021</x:v>
      </x:c>
      <x:c r="B222" t="str">
        <x:v>real_estate_investments</x:v>
      </x:c>
      <x:c r="C222" s="1" t="n">
        <x:v>979</x:v>
      </x:c>
      <x:c r="D222" t="str">
        <x:v>disclosed</x:v>
      </x:c>
      <x:c r="E222" t="str">
        <x:v>trv_ar_2021</x:v>
      </x:c>
      <x:c r="F222" t="n">
        <x:v>146</x:v>
      </x:c>
      <x:c r="G222" t="str">
        <x:v>2022-02-17</x:v>
      </x:c>
      <x:c r="H222" t="str">
        <x:v>https://s26.q4cdn.com/410417801/files/doc_financials/2021/ar/Travelers-2021-Annual-Report.pdf</x:v>
      </x:c>
      <x:c r="I222" t="str">
        <x:v>https://www.sec.gov/Archives/edgar/data/86312/000008631222000013/0000086312-22-000013-index.htm</x:v>
      </x:c>
      <x:c r="J222" t="str">
        <x:v>3e42291a1ec9a7e2d27596f4d839cf36f538eeec1d16b3dbf718001c3471c92c</x:v>
      </x:c>
    </x:row>
    <x:row r="223">
      <x:c r="A223" t="n">
        <x:v>2021</x:v>
      </x:c>
      <x:c r="B223" t="str">
        <x:v>real_estate_purchases</x:v>
      </x:c>
      <x:c r="C223" s="1" t="n">
        <x:v>28</x:v>
      </x:c>
      <x:c r="D223" t="str">
        <x:v>disclosed</x:v>
      </x:c>
      <x:c r="E223" t="str">
        <x:v>trv_ar_2022</x:v>
      </x:c>
      <x:c r="F223" t="n">
        <x:v>149</x:v>
      </x:c>
      <x:c r="G223" t="str">
        <x:v>2023-02-16</x:v>
      </x:c>
      <x:c r="H223" t="str">
        <x:v>https://s26.q4cdn.com/410417801/files/doc_financials/2022/ar/B/Travelers-2022-Annual-Report-pdf.pdf</x:v>
      </x:c>
      <x:c r="I223" t="str">
        <x:v>https://www.sec.gov/Archives/edgar/data/86312/000008631223000011/0000086312-23-000011-index.htm</x:v>
      </x:c>
      <x:c r="J223" t="str">
        <x:v>294fc17bdf196969c710ce679ef9470ca87e3d059b50f898fe487e5c68dd107d</x:v>
      </x:c>
    </x:row>
    <x:row r="224">
      <x:c r="A224" t="n">
        <x:v>2021</x:v>
      </x:c>
      <x:c r="B224" t="str">
        <x:v>real_estate_sale_proceeds</x:v>
      </x:c>
      <x:c r="C224" s="1" t="n">
        <x:v>31</x:v>
      </x:c>
      <x:c r="D224" t="str">
        <x:v>disclosed</x:v>
      </x:c>
      <x:c r="E224" t="str">
        <x:v>trv_ar_2022</x:v>
      </x:c>
      <x:c r="F224" t="n">
        <x:v>149</x:v>
      </x:c>
      <x:c r="G224" t="str">
        <x:v>2023-02-16</x:v>
      </x:c>
      <x:c r="H224" t="str">
        <x:v>https://s26.q4cdn.com/410417801/files/doc_financials/2022/ar/B/Travelers-2022-Annual-Report-pdf.pdf</x:v>
      </x:c>
      <x:c r="I224" t="str">
        <x:v>https://www.sec.gov/Archives/edgar/data/86312/000008631223000011/0000086312-23-000011-index.htm</x:v>
      </x:c>
      <x:c r="J224" t="str">
        <x:v>294fc17bdf196969c710ce679ef9470ca87e3d059b50f898fe487e5c68dd107d</x:v>
      </x:c>
    </x:row>
    <x:row r="225">
      <x:c r="A225" t="n">
        <x:v>2021</x:v>
      </x:c>
      <x:c r="B225" t="str">
        <x:v>realized_gains</x:v>
      </x:c>
      <x:c r="C225" s="1" t="n">
        <x:v>171</x:v>
      </x:c>
      <x:c r="D225" t="str">
        <x:v>disclosed</x:v>
      </x:c>
      <x:c r="E225" t="str">
        <x:v>trv_ar_2022</x:v>
      </x:c>
      <x:c r="F225" t="n">
        <x:v>145</x:v>
      </x:c>
      <x:c r="G225" t="str">
        <x:v>2023-02-16</x:v>
      </x:c>
      <x:c r="H225" t="str">
        <x:v>https://s26.q4cdn.com/410417801/files/doc_financials/2022/ar/B/Travelers-2022-Annual-Report-pdf.pdf</x:v>
      </x:c>
      <x:c r="I225" t="str">
        <x:v>https://www.sec.gov/Archives/edgar/data/86312/000008631223000011/0000086312-23-000011-index.htm</x:v>
      </x:c>
      <x:c r="J225" t="str">
        <x:v>294fc17bdf196969c710ce679ef9470ca87e3d059b50f898fe487e5c68dd107d</x:v>
      </x:c>
    </x:row>
    <x:row r="226">
      <x:c r="A226" t="n">
        <x:v>2021</x:v>
      </x:c>
      <x:c r="B226" t="str">
        <x:v>reinsurance_premium_payables</x:v>
      </x:c>
      <x:c r="C226" s="1" t="n">
        <x:v>384</x:v>
      </x:c>
      <x:c r="D226" t="str">
        <x:v>disclosed</x:v>
      </x:c>
      <x:c r="E226" t="str">
        <x:v>trv_ar_2021</x:v>
      </x:c>
      <x:c r="F226" t="n">
        <x:v>146</x:v>
      </x:c>
      <x:c r="G226" t="str">
        <x:v>2022-02-17</x:v>
      </x:c>
      <x:c r="H226" t="str">
        <x:v>https://s26.q4cdn.com/410417801/files/doc_financials/2021/ar/Travelers-2021-Annual-Report.pdf</x:v>
      </x:c>
      <x:c r="I226" t="str">
        <x:v>https://www.sec.gov/Archives/edgar/data/86312/000008631222000013/0000086312-22-000013-index.htm</x:v>
      </x:c>
      <x:c r="J226" t="str">
        <x:v>3e42291a1ec9a7e2d27596f4d839cf36f538eeec1d16b3dbf718001c3471c92c</x:v>
      </x:c>
    </x:row>
    <x:row r="227">
      <x:c r="A227" t="n">
        <x:v>2021</x:v>
      </x:c>
      <x:c r="B227" t="str">
        <x:v>reported_opening_net_after_adoption</x:v>
      </x:c>
      <x:c r="C227" s="1" t="n">
        <x:v>46357</x:v>
      </x:c>
      <x:c r="D227" t="str">
        <x:v>disclosed</x:v>
      </x:c>
      <x:c r="E227" t="str">
        <x:v>trv_ar_2021</x:v>
      </x:c>
      <x:c r="F227" t="n">
        <x:v>182</x:v>
      </x:c>
      <x:c r="G227" t="str">
        <x:v>2022-02-17</x:v>
      </x:c>
      <x:c r="H227" t="str">
        <x:v>https://s26.q4cdn.com/410417801/files/doc_financials/2021/ar/Travelers-2021-Annual-Report.pdf</x:v>
      </x:c>
      <x:c r="I227" t="str">
        <x:v>https://www.sec.gov/Archives/edgar/data/86312/000008631222000013/0000086312-22-000013-index.htm</x:v>
      </x:c>
      <x:c r="J227" t="str">
        <x:v>3e42291a1ec9a7e2d27596f4d839cf36f538eeec1d16b3dbf718001c3471c92c</x:v>
      </x:c>
    </x:row>
    <x:row r="228">
      <x:c r="A228" t="n">
        <x:v>2021</x:v>
      </x:c>
      <x:c r="B228" t="str">
        <x:v>reported_total_incurred</x:v>
      </x:c>
      <x:c r="C228" s="1" t="n">
        <x:v>20214</x:v>
      </x:c>
      <x:c r="D228" t="str">
        <x:v>disclosed</x:v>
      </x:c>
      <x:c r="E228" t="str">
        <x:v>trv_ar_2021</x:v>
      </x:c>
      <x:c r="F228" t="n">
        <x:v>182</x:v>
      </x:c>
      <x:c r="G228" t="str">
        <x:v>2022-02-17</x:v>
      </x:c>
      <x:c r="H228" t="str">
        <x:v>https://s26.q4cdn.com/410417801/files/doc_financials/2021/ar/Travelers-2021-Annual-Report.pdf</x:v>
      </x:c>
      <x:c r="I228" t="str">
        <x:v>https://www.sec.gov/Archives/edgar/data/86312/000008631222000013/0000086312-22-000013-index.htm</x:v>
      </x:c>
      <x:c r="J228" t="str">
        <x:v>3e42291a1ec9a7e2d27596f4d839cf36f538eeec1d16b3dbf718001c3471c92c</x:v>
      </x:c>
    </x:row>
    <x:row r="229">
      <x:c r="A229" t="n">
        <x:v>2021</x:v>
      </x:c>
      <x:c r="B229" t="str">
        <x:v>reported_total_paid</x:v>
      </x:c>
      <x:c r="C229" s="1" t="n">
        <x:v>17871</x:v>
      </x:c>
      <x:c r="D229" t="str">
        <x:v>disclosed</x:v>
      </x:c>
      <x:c r="E229" t="str">
        <x:v>trv_ar_2021</x:v>
      </x:c>
      <x:c r="F229" t="n">
        <x:v>182</x:v>
      </x:c>
      <x:c r="G229" t="str">
        <x:v>2022-02-17</x:v>
      </x:c>
      <x:c r="H229" t="str">
        <x:v>https://s26.q4cdn.com/410417801/files/doc_financials/2021/ar/Travelers-2021-Annual-Report.pdf</x:v>
      </x:c>
      <x:c r="I229" t="str">
        <x:v>https://www.sec.gov/Archives/edgar/data/86312/000008631222000013/0000086312-22-000013-index.htm</x:v>
      </x:c>
      <x:c r="J229" t="str">
        <x:v>3e42291a1ec9a7e2d27596f4d839cf36f538eeec1d16b3dbf718001c3471c92c</x:v>
      </x:c>
    </x:row>
    <x:row r="230">
      <x:c r="A230" t="n">
        <x:v>2021</x:v>
      </x:c>
      <x:c r="B230" t="str">
        <x:v>reserve_fx_other</x:v>
      </x:c>
      <x:c r="C230" s="1" t="n">
        <x:v>-12</x:v>
      </x:c>
      <x:c r="D230" t="str">
        <x:v>disclosed</x:v>
      </x:c>
      <x:c r="E230" t="str">
        <x:v>trv_ar_2021</x:v>
      </x:c>
      <x:c r="F230" t="n">
        <x:v>182</x:v>
      </x:c>
      <x:c r="G230" t="str">
        <x:v>2022-02-17</x:v>
      </x:c>
      <x:c r="H230" t="str">
        <x:v>https://s26.q4cdn.com/410417801/files/doc_financials/2021/ar/Travelers-2021-Annual-Report.pdf</x:v>
      </x:c>
      <x:c r="I230" t="str">
        <x:v>https://www.sec.gov/Archives/edgar/data/86312/000008631222000013/0000086312-22-000013-index.htm</x:v>
      </x:c>
      <x:c r="J230" t="str">
        <x:v>3e42291a1ec9a7e2d27596f4d839cf36f538eeec1d16b3dbf718001c3471c92c</x:v>
      </x:c>
    </x:row>
    <x:row r="231">
      <x:c r="A231" t="n">
        <x:v>2021</x:v>
      </x:c>
      <x:c r="B231" t="str">
        <x:v>reserve_prior_incurred</x:v>
      </x:c>
      <x:c r="C231" s="1" t="n">
        <x:v>-484</x:v>
      </x:c>
      <x:c r="D231" t="str">
        <x:v>disclosed</x:v>
      </x:c>
      <x:c r="E231" t="str">
        <x:v>trv_ar_2021</x:v>
      </x:c>
      <x:c r="F231" t="n">
        <x:v>182</x:v>
      </x:c>
      <x:c r="G231" t="str">
        <x:v>2022-02-17</x:v>
      </x:c>
      <x:c r="H231" t="str">
        <x:v>https://s26.q4cdn.com/410417801/files/doc_financials/2021/ar/Travelers-2021-Annual-Report.pdf</x:v>
      </x:c>
      <x:c r="I231" t="str">
        <x:v>https://www.sec.gov/Archives/edgar/data/86312/000008631222000013/0000086312-22-000013-index.htm</x:v>
      </x:c>
      <x:c r="J231" t="str">
        <x:v>3e42291a1ec9a7e2d27596f4d839cf36f538eeec1d16b3dbf718001c3471c92c</x:v>
      </x:c>
    </x:row>
    <x:row r="232">
      <x:c r="A232" t="n">
        <x:v>2021</x:v>
      </x:c>
      <x:c r="B232" t="str">
        <x:v>reserve_total_incurred</x:v>
      </x:c>
      <x:c r="C232" s="1" t="n">
        <x:v>20214</x:v>
      </x:c>
      <x:c r="D232" t="str">
        <x:v>derived</x:v>
      </x:c>
      <x:c r="E232" t="str">
        <x:v>trv_ar_2021</x:v>
      </x:c>
      <x:c r="F232" t="n">
        <x:v>182</x:v>
      </x:c>
      <x:c r="G232" t="str">
        <x:v>2022-02-17</x:v>
      </x:c>
      <x:c r="H232" t="str">
        <x:v>https://s26.q4cdn.com/410417801/files/doc_financials/2021/ar/Travelers-2021-Annual-Report.pdf</x:v>
      </x:c>
      <x:c r="I232" t="str">
        <x:v>https://www.sec.gov/Archives/edgar/data/86312/000008631222000013/0000086312-22-000013-index.htm</x:v>
      </x:c>
      <x:c r="J232" t="str">
        <x:v>3e42291a1ec9a7e2d27596f4d839cf36f538eeec1d16b3dbf718001c3471c92c</x:v>
      </x:c>
    </x:row>
    <x:row r="233">
      <x:c r="A233" t="n">
        <x:v>2021</x:v>
      </x:c>
      <x:c r="B233" t="str">
        <x:v>retained_earnings</x:v>
      </x:c>
      <x:c r="C233" s="1" t="n">
        <x:v>41555</x:v>
      </x:c>
      <x:c r="D233" t="str">
        <x:v>disclosed</x:v>
      </x:c>
      <x:c r="E233" t="str">
        <x:v>trv_ar_2021</x:v>
      </x:c>
      <x:c r="F233" t="n">
        <x:v>146</x:v>
      </x:c>
      <x:c r="G233" t="str">
        <x:v>2022-02-17</x:v>
      </x:c>
      <x:c r="H233" t="str">
        <x:v>https://s26.q4cdn.com/410417801/files/doc_financials/2021/ar/Travelers-2021-Annual-Report.pdf</x:v>
      </x:c>
      <x:c r="I233" t="str">
        <x:v>https://www.sec.gov/Archives/edgar/data/86312/000008631222000013/0000086312-22-000013-index.htm</x:v>
      </x:c>
      <x:c r="J233" t="str">
        <x:v>3e42291a1ec9a7e2d27596f4d839cf36f538eeec1d16b3dbf718001c3471c92c</x:v>
      </x:c>
    </x:row>
    <x:row r="234">
      <x:c r="A234" t="n">
        <x:v>2021</x:v>
      </x:c>
      <x:c r="B234" t="str">
        <x:v>retained_earnings_other</x:v>
      </x:c>
      <x:c r="C234" s="1" t="n">
        <x:v>-2</x:v>
      </x:c>
      <x:c r="D234" t="str">
        <x:v>disclosed</x:v>
      </x:c>
      <x:c r="E234" t="str">
        <x:v>trv_ar_2022</x:v>
      </x:c>
      <x:c r="F234" t="n">
        <x:v>148</x:v>
      </x:c>
      <x:c r="G234" t="str">
        <x:v>2023-02-16</x:v>
      </x:c>
      <x:c r="H234" t="str">
        <x:v>https://s26.q4cdn.com/410417801/files/doc_financials/2022/ar/B/Travelers-2022-Annual-Report-pdf.pdf</x:v>
      </x:c>
      <x:c r="I234" t="str">
        <x:v>https://www.sec.gov/Archives/edgar/data/86312/000008631223000011/0000086312-23-000011-index.htm</x:v>
      </x:c>
      <x:c r="J234" t="str">
        <x:v>294fc17bdf196969c710ce679ef9470ca87e3d059b50f898fe487e5c68dd107d</x:v>
      </x:c>
    </x:row>
    <x:row r="235">
      <x:c r="A235" t="n">
        <x:v>2021</x:v>
      </x:c>
      <x:c r="B235" t="str">
        <x:v>share_buybacks_cash</x:v>
      </x:c>
      <x:c r="C235" s="1" t="n">
        <x:v>2156</x:v>
      </x:c>
      <x:c r="D235" t="str">
        <x:v>disclosed</x:v>
      </x:c>
      <x:c r="E235" t="str">
        <x:v>trv_ar_2022</x:v>
      </x:c>
      <x:c r="F235" t="n">
        <x:v>149</x:v>
      </x:c>
      <x:c r="G235" t="str">
        <x:v>2023-02-16</x:v>
      </x:c>
      <x:c r="H235" t="str">
        <x:v>https://s26.q4cdn.com/410417801/files/doc_financials/2022/ar/B/Travelers-2022-Annual-Report-pdf.pdf</x:v>
      </x:c>
      <x:c r="I235" t="str">
        <x:v>https://www.sec.gov/Archives/edgar/data/86312/000008631223000011/0000086312-23-000011-index.htm</x:v>
      </x:c>
      <x:c r="J235" t="str">
        <x:v>294fc17bdf196969c710ce679ef9470ca87e3d059b50f898fe487e5c68dd107d</x:v>
      </x:c>
    </x:row>
    <x:row r="236">
      <x:c r="A236" t="n">
        <x:v>2021</x:v>
      </x:c>
      <x:c r="B236" t="str">
        <x:v>short_term_investments</x:v>
      </x:c>
      <x:c r="C236" s="1" t="n">
        <x:v>3836</x:v>
      </x:c>
      <x:c r="D236" t="str">
        <x:v>disclosed</x:v>
      </x:c>
      <x:c r="E236" t="str">
        <x:v>trv_ar_2021</x:v>
      </x:c>
      <x:c r="F236" t="n">
        <x:v>146</x:v>
      </x:c>
      <x:c r="G236" t="str">
        <x:v>2022-02-17</x:v>
      </x:c>
      <x:c r="H236" t="str">
        <x:v>https://s26.q4cdn.com/410417801/files/doc_financials/2021/ar/Travelers-2021-Annual-Report.pdf</x:v>
      </x:c>
      <x:c r="I236" t="str">
        <x:v>https://www.sec.gov/Archives/edgar/data/86312/000008631222000013/0000086312-22-000013-index.htm</x:v>
      </x:c>
      <x:c r="J236" t="str">
        <x:v>3e42291a1ec9a7e2d27596f4d839cf36f538eeec1d16b3dbf718001c3471c92c</x:v>
      </x:c>
    </x:row>
    <x:row r="237">
      <x:c r="A237" t="n">
        <x:v>2021</x:v>
      </x:c>
      <x:c r="B237" t="str">
        <x:v>short_term_net_sales</x:v>
      </x:c>
      <x:c r="C237" s="1" t="n">
        <x:v>1671</x:v>
      </x:c>
      <x:c r="D237" t="str">
        <x:v>disclosed</x:v>
      </x:c>
      <x:c r="E237" t="str">
        <x:v>trv_ar_2022</x:v>
      </x:c>
      <x:c r="F237" t="n">
        <x:v>149</x:v>
      </x:c>
      <x:c r="G237" t="str">
        <x:v>2023-02-16</x:v>
      </x:c>
      <x:c r="H237" t="str">
        <x:v>https://s26.q4cdn.com/410417801/files/doc_financials/2022/ar/B/Travelers-2022-Annual-Report-pdf.pdf</x:v>
      </x:c>
      <x:c r="I237" t="str">
        <x:v>https://www.sec.gov/Archives/edgar/data/86312/000008631223000011/0000086312-23-000011-index.htm</x:v>
      </x:c>
      <x:c r="J237" t="str">
        <x:v>294fc17bdf196969c710ce679ef9470ca87e3d059b50f898fe487e5c68dd107d</x:v>
      </x:c>
    </x:row>
    <x:row r="238">
      <x:c r="A238" t="n">
        <x:v>2021</x:v>
      </x:c>
      <x:c r="B238" t="str">
        <x:v>stock_comp_and_other_equity</x:v>
      </x:c>
      <x:c r="C238" s="1" t="n">
        <x:v>164</x:v>
      </x:c>
      <x:c r="D238" t="str">
        <x:v>disclosed</x:v>
      </x:c>
      <x:c r="E238" t="str">
        <x:v>trv_ar_2022</x:v>
      </x:c>
      <x:c r="F238" t="n">
        <x:v>148</x:v>
      </x:c>
      <x:c r="G238" t="str">
        <x:v>2023-02-16</x:v>
      </x:c>
      <x:c r="H238" t="str">
        <x:v>https://s26.q4cdn.com/410417801/files/doc_financials/2022/ar/B/Travelers-2022-Annual-Report-pdf.pdf</x:v>
      </x:c>
      <x:c r="I238" t="str">
        <x:v>https://www.sec.gov/Archives/edgar/data/86312/000008631223000011/0000086312-23-000011-index.htm</x:v>
      </x:c>
      <x:c r="J238" t="str">
        <x:v>294fc17bdf196969c710ce679ef9470ca87e3d059b50f898fe487e5c68dd107d</x:v>
      </x:c>
    </x:row>
    <x:row r="239">
      <x:c r="A239" t="n">
        <x:v>2021</x:v>
      </x:c>
      <x:c r="B239" t="str">
        <x:v>tax_expense</x:v>
      </x:c>
      <x:c r="C239" s="1" t="n">
        <x:v>796</x:v>
      </x:c>
      <x:c r="D239" t="str">
        <x:v>disclosed</x:v>
      </x:c>
      <x:c r="E239" t="str">
        <x:v>trv_ar_2022</x:v>
      </x:c>
      <x:c r="F239" t="n">
        <x:v>145</x:v>
      </x:c>
      <x:c r="G239" t="str">
        <x:v>2023-02-16</x:v>
      </x:c>
      <x:c r="H239" t="str">
        <x:v>https://s26.q4cdn.com/410417801/files/doc_financials/2022/ar/B/Travelers-2022-Annual-Report-pdf.pdf</x:v>
      </x:c>
      <x:c r="I239" t="str">
        <x:v>https://www.sec.gov/Archives/edgar/data/86312/000008631223000011/0000086312-23-000011-index.htm</x:v>
      </x:c>
      <x:c r="J239" t="str">
        <x:v>294fc17bdf196969c710ce679ef9470ca87e3d059b50f898fe487e5c68dd107d</x:v>
      </x:c>
    </x:row>
    <x:row r="240">
      <x:c r="A240" t="n">
        <x:v>2021</x:v>
      </x:c>
      <x:c r="B240" t="str">
        <x:v>total_assets</x:v>
      </x:c>
      <x:c r="C240" s="1" t="n">
        <x:v>120466</x:v>
      </x:c>
      <x:c r="D240" t="str">
        <x:v>disclosed</x:v>
      </x:c>
      <x:c r="E240" t="str">
        <x:v>trv_ar_2021</x:v>
      </x:c>
      <x:c r="F240" t="n">
        <x:v>146</x:v>
      </x:c>
      <x:c r="G240" t="str">
        <x:v>2022-02-17</x:v>
      </x:c>
      <x:c r="H240" t="str">
        <x:v>https://s26.q4cdn.com/410417801/files/doc_financials/2021/ar/Travelers-2021-Annual-Report.pdf</x:v>
      </x:c>
      <x:c r="I240" t="str">
        <x:v>https://www.sec.gov/Archives/edgar/data/86312/000008631222000013/0000086312-22-000013-index.htm</x:v>
      </x:c>
      <x:c r="J240" t="str">
        <x:v>3e42291a1ec9a7e2d27596f4d839cf36f538eeec1d16b3dbf718001c3471c92c</x:v>
      </x:c>
    </x:row>
    <x:row r="241">
      <x:c r="A241" t="n">
        <x:v>2021</x:v>
      </x:c>
      <x:c r="B241" t="str">
        <x:v>total_expenses</x:v>
      </x:c>
      <x:c r="C241" s="1" t="n">
        <x:v>30358</x:v>
      </x:c>
      <x:c r="D241" t="str">
        <x:v>disclosed</x:v>
      </x:c>
      <x:c r="E241" t="str">
        <x:v>trv_ar_2022</x:v>
      </x:c>
      <x:c r="F241" t="n">
        <x:v>145</x:v>
      </x:c>
      <x:c r="G241" t="str">
        <x:v>2023-02-16</x:v>
      </x:c>
      <x:c r="H241" t="str">
        <x:v>https://s26.q4cdn.com/410417801/files/doc_financials/2022/ar/B/Travelers-2022-Annual-Report-pdf.pdf</x:v>
      </x:c>
      <x:c r="I241" t="str">
        <x:v>https://www.sec.gov/Archives/edgar/data/86312/000008631223000011/0000086312-23-000011-index.htm</x:v>
      </x:c>
      <x:c r="J241" t="str">
        <x:v>294fc17bdf196969c710ce679ef9470ca87e3d059b50f898fe487e5c68dd107d</x:v>
      </x:c>
    </x:row>
    <x:row r="242">
      <x:c r="A242" t="n">
        <x:v>2021</x:v>
      </x:c>
      <x:c r="B242" t="str">
        <x:v>total_investments</x:v>
      </x:c>
      <x:c r="C242" s="1" t="n">
        <x:v>87375</x:v>
      </x:c>
      <x:c r="D242" t="str">
        <x:v>disclosed</x:v>
      </x:c>
      <x:c r="E242" t="str">
        <x:v>trv_ar_2021</x:v>
      </x:c>
      <x:c r="F242" t="n">
        <x:v>146</x:v>
      </x:c>
      <x:c r="G242" t="str">
        <x:v>2022-02-17</x:v>
      </x:c>
      <x:c r="H242" t="str">
        <x:v>https://s26.q4cdn.com/410417801/files/doc_financials/2021/ar/Travelers-2021-Annual-Report.pdf</x:v>
      </x:c>
      <x:c r="I242" t="str">
        <x:v>https://www.sec.gov/Archives/edgar/data/86312/000008631222000013/0000086312-22-000013-index.htm</x:v>
      </x:c>
      <x:c r="J242" t="str">
        <x:v>3e42291a1ec9a7e2d27596f4d839cf36f538eeec1d16b3dbf718001c3471c92c</x:v>
      </x:c>
    </x:row>
    <x:row r="243">
      <x:c r="A243" t="n">
        <x:v>2021</x:v>
      </x:c>
      <x:c r="B243" t="str">
        <x:v>total_liabilities</x:v>
      </x:c>
      <x:c r="C243" s="1" t="n">
        <x:v>91579</x:v>
      </x:c>
      <x:c r="D243" t="str">
        <x:v>disclosed</x:v>
      </x:c>
      <x:c r="E243" t="str">
        <x:v>trv_ar_2021</x:v>
      </x:c>
      <x:c r="F243" t="n">
        <x:v>146</x:v>
      </x:c>
      <x:c r="G243" t="str">
        <x:v>2022-02-17</x:v>
      </x:c>
      <x:c r="H243" t="str">
        <x:v>https://s26.q4cdn.com/410417801/files/doc_financials/2021/ar/Travelers-2021-Annual-Report.pdf</x:v>
      </x:c>
      <x:c r="I243" t="str">
        <x:v>https://www.sec.gov/Archives/edgar/data/86312/000008631222000013/0000086312-22-000013-index.htm</x:v>
      </x:c>
      <x:c r="J243" t="str">
        <x:v>3e42291a1ec9a7e2d27596f4d839cf36f538eeec1d16b3dbf718001c3471c92c</x:v>
      </x:c>
    </x:row>
    <x:row r="244">
      <x:c r="A244" t="n">
        <x:v>2021</x:v>
      </x:c>
      <x:c r="B244" t="str">
        <x:v>total_oci</x:v>
      </x:c>
      <x:c r="C244" s="1" t="n">
        <x:v>-1309</x:v>
      </x:c>
      <x:c r="D244" t="str">
        <x:v>disclosed</x:v>
      </x:c>
      <x:c r="E244" t="str">
        <x:v>trv_ar_2022</x:v>
      </x:c>
      <x:c r="F244" t="n">
        <x:v>148</x:v>
      </x:c>
      <x:c r="G244" t="str">
        <x:v>2023-02-16</x:v>
      </x:c>
      <x:c r="H244" t="str">
        <x:v>https://s26.q4cdn.com/410417801/files/doc_financials/2022/ar/B/Travelers-2022-Annual-Report-pdf.pdf</x:v>
      </x:c>
      <x:c r="I244" t="str">
        <x:v>https://www.sec.gov/Archives/edgar/data/86312/000008631223000011/0000086312-23-000011-index.htm</x:v>
      </x:c>
      <x:c r="J244" t="str">
        <x:v>294fc17bdf196969c710ce679ef9470ca87e3d059b50f898fe487e5c68dd107d</x:v>
      </x:c>
    </x:row>
    <x:row r="245">
      <x:c r="A245" t="n">
        <x:v>2021</x:v>
      </x:c>
      <x:c r="B245" t="str">
        <x:v>total_recoverables</x:v>
      </x:c>
      <x:c r="C245" s="1" t="n">
        <x:v>8452</x:v>
      </x:c>
      <x:c r="D245" t="str">
        <x:v>disclosed</x:v>
      </x:c>
      <x:c r="E245" t="str">
        <x:v>trv_ar_2021</x:v>
      </x:c>
      <x:c r="F245" t="n">
        <x:v>146</x:v>
      </x:c>
      <x:c r="G245" t="str">
        <x:v>2022-02-17</x:v>
      </x:c>
      <x:c r="H245" t="str">
        <x:v>https://s26.q4cdn.com/410417801/files/doc_financials/2021/ar/Travelers-2021-Annual-Report.pdf</x:v>
      </x:c>
      <x:c r="I245" t="str">
        <x:v>https://www.sec.gov/Archives/edgar/data/86312/000008631222000013/0000086312-22-000013-index.htm</x:v>
      </x:c>
      <x:c r="J245" t="str">
        <x:v>3e42291a1ec9a7e2d27596f4d839cf36f538eeec1d16b3dbf718001c3471c92c</x:v>
      </x:c>
    </x:row>
    <x:row r="246">
      <x:c r="A246" t="n">
        <x:v>2021</x:v>
      </x:c>
      <x:c r="B246" t="str">
        <x:v>total_revenue</x:v>
      </x:c>
      <x:c r="C246" s="1" t="n">
        <x:v>34816</x:v>
      </x:c>
      <x:c r="D246" t="str">
        <x:v>disclosed</x:v>
      </x:c>
      <x:c r="E246" t="str">
        <x:v>trv_ar_2022</x:v>
      </x:c>
      <x:c r="F246" t="n">
        <x:v>145</x:v>
      </x:c>
      <x:c r="G246" t="str">
        <x:v>2023-02-16</x:v>
      </x:c>
      <x:c r="H246" t="str">
        <x:v>https://s26.q4cdn.com/410417801/files/doc_financials/2022/ar/B/Travelers-2022-Annual-Report-pdf.pdf</x:v>
      </x:c>
      <x:c r="I246" t="str">
        <x:v>https://www.sec.gov/Archives/edgar/data/86312/000008631223000011/0000086312-23-000011-index.htm</x:v>
      </x:c>
      <x:c r="J246" t="str">
        <x:v>294fc17bdf196969c710ce679ef9470ca87e3d059b50f898fe487e5c68dd107d</x:v>
      </x:c>
    </x:row>
    <x:row r="247">
      <x:c r="A247" t="n">
        <x:v>2021</x:v>
      </x:c>
      <x:c r="B247" t="str">
        <x:v>treasury_stock</x:v>
      </x:c>
      <x:c r="C247" s="1" t="n">
        <x:v>-38015</x:v>
      </x:c>
      <x:c r="D247" t="str">
        <x:v>disclosed</x:v>
      </x:c>
      <x:c r="E247" t="str">
        <x:v>trv_ar_2021</x:v>
      </x:c>
      <x:c r="F247" t="n">
        <x:v>146</x:v>
      </x:c>
      <x:c r="G247" t="str">
        <x:v>2022-02-17</x:v>
      </x:c>
      <x:c r="H247" t="str">
        <x:v>https://s26.q4cdn.com/410417801/files/doc_financials/2021/ar/Travelers-2021-Annual-Report.pdf</x:v>
      </x:c>
      <x:c r="I247" t="str">
        <x:v>https://www.sec.gov/Archives/edgar/data/86312/000008631222000013/0000086312-22-000013-index.htm</x:v>
      </x:c>
      <x:c r="J247" t="str">
        <x:v>3e42291a1ec9a7e2d27596f4d839cf36f538eeec1d16b3dbf718001c3471c92c</x:v>
      </x:c>
    </x:row>
    <x:row r="248">
      <x:c r="A248" t="n">
        <x:v>2021</x:v>
      </x:c>
      <x:c r="B248" t="str">
        <x:v>unpaid_recoverables</x:v>
      </x:c>
      <x:c r="C248" s="1" t="n">
        <x:v>8209</x:v>
      </x:c>
      <x:c r="D248" t="str">
        <x:v>disclosed</x:v>
      </x:c>
      <x:c r="E248" t="str">
        <x:v>trv_ar_2021</x:v>
      </x:c>
      <x:c r="F248" t="n">
        <x:v>182</x:v>
      </x:c>
      <x:c r="G248" t="str">
        <x:v>2022-02-17</x:v>
      </x:c>
      <x:c r="H248" t="str">
        <x:v>https://s26.q4cdn.com/410417801/files/doc_financials/2021/ar/Travelers-2021-Annual-Report.pdf</x:v>
      </x:c>
      <x:c r="I248" t="str">
        <x:v>https://www.sec.gov/Archives/edgar/data/86312/000008631222000013/0000086312-22-000013-index.htm</x:v>
      </x:c>
      <x:c r="J248" t="str">
        <x:v>3e42291a1ec9a7e2d27596f4d839cf36f538eeec1d16b3dbf718001c3471c92c</x:v>
      </x:c>
    </x:row>
    <x:row r="249">
      <x:c r="A249" t="n">
        <x:v>2022</x:v>
      </x:c>
      <x:c r="B249" t="str">
        <x:v>accrued_investment_income</x:v>
      </x:c>
      <x:c r="C249" s="1" t="n">
        <x:v>650</x:v>
      </x:c>
      <x:c r="D249" t="str">
        <x:v>disclosed</x:v>
      </x:c>
      <x:c r="E249" t="str">
        <x:v>trv_ar_2022</x:v>
      </x:c>
      <x:c r="F249" t="n">
        <x:v>147</x:v>
      </x:c>
      <x:c r="G249" t="str">
        <x:v>2023-02-16</x:v>
      </x:c>
      <x:c r="H249" t="str">
        <x:v>https://s26.q4cdn.com/410417801/files/doc_financials/2022/ar/B/Travelers-2022-Annual-Report-pdf.pdf</x:v>
      </x:c>
      <x:c r="I249" t="str">
        <x:v>https://www.sec.gov/Archives/edgar/data/86312/000008631223000011/0000086312-23-000011-index.htm</x:v>
      </x:c>
      <x:c r="J249" t="str">
        <x:v>294fc17bdf196969c710ce679ef9470ca87e3d059b50f898fe487e5c68dd107d</x:v>
      </x:c>
    </x:row>
    <x:row r="250">
      <x:c r="A250" t="n">
        <x:v>2022</x:v>
      </x:c>
      <x:c r="B250" t="str">
        <x:v>adoption_change</x:v>
      </x:c>
      <x:c r="C250" s="1" t="n">
        <x:v>0</x:v>
      </x:c>
      <x:c r="D250" t="str">
        <x:v>disclosed</x:v>
      </x:c>
      <x:c r="E250" t="str">
        <x:v>trv_ar_2023</x:v>
      </x:c>
      <x:c r="F250" t="n">
        <x:v>181</x:v>
      </x:c>
      <x:c r="G250" t="str">
        <x:v>2024-02-15</x:v>
      </x:c>
      <x:c r="H250" t="str">
        <x:v>https://s26.q4cdn.com/410417801/files/doc_financials/2023/ar/Travelers-2023-Annual__Report.pdf</x:v>
      </x:c>
      <x:c r="I250" t="str">
        <x:v>https://www.sec.gov/Archives/edgar/data/86312/000008631224000012/0000086312-24-000012-index.htm</x:v>
      </x:c>
      <x:c r="J250" t="str">
        <x:v>53f73eab62a87649bddd9402c5e9b9fb7087192b4df27a788f7b1189250829e3</x:v>
      </x:c>
    </x:row>
    <x:row r="251">
      <x:c r="A251" t="n">
        <x:v>2022</x:v>
      </x:c>
      <x:c r="B251" t="str">
        <x:v>adoption_equity</x:v>
      </x:c>
      <x:c r="C251" s="1" t="n">
        <x:v>0</x:v>
      </x:c>
      <x:c r="D251" t="str">
        <x:v>disclosed</x:v>
      </x:c>
      <x:c r="E251" t="str">
        <x:v>trv_ar_2022</x:v>
      </x:c>
      <x:c r="F251" t="n">
        <x:v>148</x:v>
      </x:c>
      <x:c r="G251" t="str">
        <x:v>2023-02-16</x:v>
      </x:c>
      <x:c r="H251" t="str">
        <x:v>https://s26.q4cdn.com/410417801/files/doc_financials/2022/ar/B/Travelers-2022-Annual-Report-pdf.pdf</x:v>
      </x:c>
      <x:c r="I251" t="str">
        <x:v>https://www.sec.gov/Archives/edgar/data/86312/000008631223000011/0000086312-23-000011-index.htm</x:v>
      </x:c>
      <x:c r="J251" t="str">
        <x:v>294fc17bdf196969c710ce679ef9470ca87e3d059b50f898fe487e5c68dd107d</x:v>
      </x:c>
    </x:row>
    <x:row r="252">
      <x:c r="A252" t="n">
        <x:v>2022</x:v>
      </x:c>
      <x:c r="B252" t="str">
        <x:v>aoci</x:v>
      </x:c>
      <x:c r="C252" s="1" t="n">
        <x:v>-6445</x:v>
      </x:c>
      <x:c r="D252" t="str">
        <x:v>disclosed</x:v>
      </x:c>
      <x:c r="E252" t="str">
        <x:v>trv_ar_2023</x:v>
      </x:c>
      <x:c r="F252" t="n">
        <x:v>147</x:v>
      </x:c>
      <x:c r="G252" t="str">
        <x:v>2024-02-15</x:v>
      </x:c>
      <x:c r="H252" t="str">
        <x:v>https://s26.q4cdn.com/410417801/files/doc_financials/2023/ar/Travelers-2023-Annual__Report.pdf</x:v>
      </x:c>
      <x:c r="I252" t="str">
        <x:v>https://www.sec.gov/Archives/edgar/data/86312/000008631224000012/0000086312-24-000012-index.htm</x:v>
      </x:c>
      <x:c r="J252" t="str">
        <x:v>53f73eab62a87649bddd9402c5e9b9fb7087192b4df27a788f7b1189250829e3</x:v>
      </x:c>
    </x:row>
    <x:row r="253">
      <x:c r="A253" t="n">
        <x:v>2022</x:v>
      </x:c>
      <x:c r="B253" t="str">
        <x:v>assumed_earned</x:v>
      </x:c>
      <x:c r="C253" s="1" t="n">
        <x:v>1145</x:v>
      </x:c>
      <x:c r="D253" t="str">
        <x:v>disclosed</x:v>
      </x:c>
      <x:c r="E253" t="str">
        <x:v>trv_ar_2022</x:v>
      </x:c>
      <x:c r="F253" t="n">
        <x:v>179</x:v>
      </x:c>
      <x:c r="G253" t="str">
        <x:v>2023-02-16</x:v>
      </x:c>
      <x:c r="H253" t="str">
        <x:v>https://s26.q4cdn.com/410417801/files/doc_financials/2022/ar/B/Travelers-2022-Annual-Report-pdf.pdf</x:v>
      </x:c>
      <x:c r="I253" t="str">
        <x:v>https://www.sec.gov/Archives/edgar/data/86312/000008631223000011/0000086312-23-000011-index.htm</x:v>
      </x:c>
      <x:c r="J253" t="str">
        <x:v>294fc17bdf196969c710ce679ef9470ca87e3d059b50f898fe487e5c68dd107d</x:v>
      </x:c>
    </x:row>
    <x:row r="254">
      <x:c r="A254" t="n">
        <x:v>2022</x:v>
      </x:c>
      <x:c r="B254" t="str">
        <x:v>assumed_written</x:v>
      </x:c>
      <x:c r="C254" s="1" t="n">
        <x:v>1228</x:v>
      </x:c>
      <x:c r="D254" t="str">
        <x:v>disclosed</x:v>
      </x:c>
      <x:c r="E254" t="str">
        <x:v>trv_ar_2022</x:v>
      </x:c>
      <x:c r="F254" t="n">
        <x:v>179</x:v>
      </x:c>
      <x:c r="G254" t="str">
        <x:v>2023-02-16</x:v>
      </x:c>
      <x:c r="H254" t="str">
        <x:v>https://s26.q4cdn.com/410417801/files/doc_financials/2022/ar/B/Travelers-2022-Annual-Report-pdf.pdf</x:v>
      </x:c>
      <x:c r="I254" t="str">
        <x:v>https://www.sec.gov/Archives/edgar/data/86312/000008631223000011/0000086312-23-000011-index.htm</x:v>
      </x:c>
      <x:c r="J254" t="str">
        <x:v>294fc17bdf196969c710ce679ef9470ca87e3d059b50f898fe487e5c68dd107d</x:v>
      </x:c>
    </x:row>
    <x:row r="255">
      <x:c r="A255" t="n">
        <x:v>2022</x:v>
      </x:c>
      <x:c r="B255" t="str">
        <x:v>balance_sheet_claim_reserves</x:v>
      </x:c>
      <x:c r="C255" s="1" t="n">
        <x:v>58649</x:v>
      </x:c>
      <x:c r="D255" t="str">
        <x:v>disclosed</x:v>
      </x:c>
      <x:c r="E255" t="str">
        <x:v>trv_ar_2022</x:v>
      </x:c>
      <x:c r="F255" t="n">
        <x:v>147</x:v>
      </x:c>
      <x:c r="G255" t="str">
        <x:v>2023-02-16</x:v>
      </x:c>
      <x:c r="H255" t="str">
        <x:v>https://s26.q4cdn.com/410417801/files/doc_financials/2022/ar/B/Travelers-2022-Annual-Report-pdf.pdf</x:v>
      </x:c>
      <x:c r="I255" t="str">
        <x:v>https://www.sec.gov/Archives/edgar/data/86312/000008631223000011/0000086312-23-000011-index.htm</x:v>
      </x:c>
      <x:c r="J255" t="str">
        <x:v>294fc17bdf196969c710ce679ef9470ca87e3d059b50f898fe487e5c68dd107d</x:v>
      </x:c>
    </x:row>
    <x:row r="256">
      <x:c r="A256" t="n">
        <x:v>2022</x:v>
      </x:c>
      <x:c r="B256" t="str">
        <x:v>cash</x:v>
      </x:c>
      <x:c r="C256" s="1" t="n">
        <x:v>799</x:v>
      </x:c>
      <x:c r="D256" t="str">
        <x:v>disclosed</x:v>
      </x:c>
      <x:c r="E256" t="str">
        <x:v>trv_ar_2022</x:v>
      </x:c>
      <x:c r="F256" t="n">
        <x:v>147</x:v>
      </x:c>
      <x:c r="G256" t="str">
        <x:v>2023-02-16</x:v>
      </x:c>
      <x:c r="H256" t="str">
        <x:v>https://s26.q4cdn.com/410417801/files/doc_financials/2022/ar/B/Travelers-2022-Annual-Report-pdf.pdf</x:v>
      </x:c>
      <x:c r="I256" t="str">
        <x:v>https://www.sec.gov/Archives/edgar/data/86312/000008631223000011/0000086312-23-000011-index.htm</x:v>
      </x:c>
      <x:c r="J256" t="str">
        <x:v>294fc17bdf196969c710ce679ef9470ca87e3d059b50f898fe487e5c68dd107d</x:v>
      </x:c>
    </x:row>
    <x:row r="257">
      <x:c r="A257" t="n">
        <x:v>2022</x:v>
      </x:c>
      <x:c r="B257" t="str">
        <x:v>cash_change_before_reclassification</x:v>
      </x:c>
      <x:c r="C257" s="1" t="n">
        <x:v>38</x:v>
      </x:c>
      <x:c r="D257" t="str">
        <x:v>disclosed</x:v>
      </x:c>
      <x:c r="E257" t="str">
        <x:v>trv_ar_2022</x:v>
      </x:c>
      <x:c r="F257" t="n">
        <x:v>149</x:v>
      </x:c>
      <x:c r="G257" t="str">
        <x:v>2023-02-16</x:v>
      </x:c>
      <x:c r="H257" t="str">
        <x:v>https://s26.q4cdn.com/410417801/files/doc_financials/2022/ar/B/Travelers-2022-Annual-Report-pdf.pdf</x:v>
      </x:c>
      <x:c r="I257" t="str">
        <x:v>https://www.sec.gov/Archives/edgar/data/86312/000008631223000011/0000086312-23-000011-index.htm</x:v>
      </x:c>
      <x:c r="J257" t="str">
        <x:v>294fc17bdf196969c710ce679ef9470ca87e3d059b50f898fe487e5c68dd107d</x:v>
      </x:c>
    </x:row>
    <x:row r="258">
      <x:c r="A258" t="n">
        <x:v>2022</x:v>
      </x:c>
      <x:c r="B258" t="str">
        <x:v>cash_flow_closing</x:v>
      </x:c>
      <x:c r="C258" s="1" t="n">
        <x:v>799</x:v>
      </x:c>
      <x:c r="D258" t="str">
        <x:v>disclosed</x:v>
      </x:c>
      <x:c r="E258" t="str">
        <x:v>trv_ar_2022</x:v>
      </x:c>
      <x:c r="F258" t="n">
        <x:v>149</x:v>
      </x:c>
      <x:c r="G258" t="str">
        <x:v>2023-02-16</x:v>
      </x:c>
      <x:c r="H258" t="str">
        <x:v>https://s26.q4cdn.com/410417801/files/doc_financials/2022/ar/B/Travelers-2022-Annual-Report-pdf.pdf</x:v>
      </x:c>
      <x:c r="I258" t="str">
        <x:v>https://www.sec.gov/Archives/edgar/data/86312/000008631223000011/0000086312-23-000011-index.htm</x:v>
      </x:c>
      <x:c r="J258" t="str">
        <x:v>294fc17bdf196969c710ce679ef9470ca87e3d059b50f898fe487e5c68dd107d</x:v>
      </x:c>
    </x:row>
    <x:row r="259">
      <x:c r="A259" t="n">
        <x:v>2022</x:v>
      </x:c>
      <x:c r="B259" t="str">
        <x:v>cash_flow_net_income</x:v>
      </x:c>
      <x:c r="C259" s="1" t="n">
        <x:v>2842</x:v>
      </x:c>
      <x:c r="D259" t="str">
        <x:v>disclosed</x:v>
      </x:c>
      <x:c r="E259" t="str">
        <x:v>trv_ar_2022</x:v>
      </x:c>
      <x:c r="F259" t="n">
        <x:v>149</x:v>
      </x:c>
      <x:c r="G259" t="str">
        <x:v>2023-02-16</x:v>
      </x:c>
      <x:c r="H259" t="str">
        <x:v>https://s26.q4cdn.com/410417801/files/doc_financials/2022/ar/B/Travelers-2022-Annual-Report-pdf.pdf</x:v>
      </x:c>
      <x:c r="I259" t="str">
        <x:v>https://www.sec.gov/Archives/edgar/data/86312/000008631223000011/0000086312-23-000011-index.htm</x:v>
      </x:c>
      <x:c r="J259" t="str">
        <x:v>294fc17bdf196969c710ce679ef9470ca87e3d059b50f898fe487e5c68dd107d</x:v>
      </x:c>
    </x:row>
    <x:row r="260">
      <x:c r="A260" t="n">
        <x:v>2022</x:v>
      </x:c>
      <x:c r="B260" t="str">
        <x:v>cash_flow_opening</x:v>
      </x:c>
      <x:c r="C260" s="1" t="n">
        <x:v>761</x:v>
      </x:c>
      <x:c r="D260" t="str">
        <x:v>disclosed</x:v>
      </x:c>
      <x:c r="E260" t="str">
        <x:v>trv_ar_2022</x:v>
      </x:c>
      <x:c r="F260" t="n">
        <x:v>149</x:v>
      </x:c>
      <x:c r="G260" t="str">
        <x:v>2023-02-16</x:v>
      </x:c>
      <x:c r="H260" t="str">
        <x:v>https://s26.q4cdn.com/410417801/files/doc_financials/2022/ar/B/Travelers-2022-Annual-Report-pdf.pdf</x:v>
      </x:c>
      <x:c r="I260" t="str">
        <x:v>https://www.sec.gov/Archives/edgar/data/86312/000008631223000011/0000086312-23-000011-index.htm</x:v>
      </x:c>
      <x:c r="J260" t="str">
        <x:v>294fc17bdf196969c710ce679ef9470ca87e3d059b50f898fe487e5c68dd107d</x:v>
      </x:c>
    </x:row>
    <x:row r="261">
      <x:c r="A261" t="n">
        <x:v>2022</x:v>
      </x:c>
      <x:c r="B261" t="str">
        <x:v>cash_fx</x:v>
      </x:c>
      <x:c r="C261" s="1" t="n">
        <x:v>-30</x:v>
      </x:c>
      <x:c r="D261" t="str">
        <x:v>disclosed</x:v>
      </x:c>
      <x:c r="E261" t="str">
        <x:v>trv_ar_2022</x:v>
      </x:c>
      <x:c r="F261" t="n">
        <x:v>149</x:v>
      </x:c>
      <x:c r="G261" t="str">
        <x:v>2023-02-16</x:v>
      </x:c>
      <x:c r="H261" t="str">
        <x:v>https://s26.q4cdn.com/410417801/files/doc_financials/2022/ar/B/Travelers-2022-Annual-Report-pdf.pdf</x:v>
      </x:c>
      <x:c r="I261" t="str">
        <x:v>https://www.sec.gov/Archives/edgar/data/86312/000008631223000011/0000086312-23-000011-index.htm</x:v>
      </x:c>
      <x:c r="J261" t="str">
        <x:v>294fc17bdf196969c710ce679ef9470ca87e3d059b50f898fe487e5c68dd107d</x:v>
      </x:c>
    </x:row>
    <x:row r="262">
      <x:c r="A262" t="n">
        <x:v>2022</x:v>
      </x:c>
      <x:c r="B262" t="str">
        <x:v>cash_tax</x:v>
      </x:c>
      <x:c r="C262" s="1" t="n">
        <x:v>817</x:v>
      </x:c>
      <x:c r="D262" t="str">
        <x:v>disclosed</x:v>
      </x:c>
      <x:c r="E262" t="str">
        <x:v>trv_ar_2022</x:v>
      </x:c>
      <x:c r="F262" t="n">
        <x:v>149</x:v>
      </x:c>
      <x:c r="G262" t="str">
        <x:v>2023-02-16</x:v>
      </x:c>
      <x:c r="H262" t="str">
        <x:v>https://s26.q4cdn.com/410417801/files/doc_financials/2022/ar/B/Travelers-2022-Annual-Report-pdf.pdf</x:v>
      </x:c>
      <x:c r="I262" t="str">
        <x:v>https://www.sec.gov/Archives/edgar/data/86312/000008631223000011/0000086312-23-000011-index.htm</x:v>
      </x:c>
      <x:c r="J262" t="str">
        <x:v>294fc17bdf196969c710ce679ef9470ca87e3d059b50f898fe487e5c68dd107d</x:v>
      </x:c>
    </x:row>
    <x:row r="263">
      <x:c r="A263" t="n">
        <x:v>2022</x:v>
      </x:c>
      <x:c r="B263" t="str">
        <x:v>ceded_earned</x:v>
      </x:c>
      <x:c r="C263" s="1" t="n">
        <x:v>2330</x:v>
      </x:c>
      <x:c r="D263" t="str">
        <x:v>disclosed</x:v>
      </x:c>
      <x:c r="E263" t="str">
        <x:v>trv_ar_2022</x:v>
      </x:c>
      <x:c r="F263" t="n">
        <x:v>179</x:v>
      </x:c>
      <x:c r="G263" t="str">
        <x:v>2023-02-16</x:v>
      </x:c>
      <x:c r="H263" t="str">
        <x:v>https://s26.q4cdn.com/410417801/files/doc_financials/2022/ar/B/Travelers-2022-Annual-Report-pdf.pdf</x:v>
      </x:c>
      <x:c r="I263" t="str">
        <x:v>https://www.sec.gov/Archives/edgar/data/86312/000008631223000011/0000086312-23-000011-index.htm</x:v>
      </x:c>
      <x:c r="J263" t="str">
        <x:v>294fc17bdf196969c710ce679ef9470ca87e3d059b50f898fe487e5c68dd107d</x:v>
      </x:c>
    </x:row>
    <x:row r="264">
      <x:c r="A264" t="n">
        <x:v>2022</x:v>
      </x:c>
      <x:c r="B264" t="str">
        <x:v>ceded_upr</x:v>
      </x:c>
      <x:c r="C264" s="1" t="n">
        <x:v>1024</x:v>
      </x:c>
      <x:c r="D264" t="str">
        <x:v>disclosed</x:v>
      </x:c>
      <x:c r="E264" t="str">
        <x:v>trv_ar_2022</x:v>
      </x:c>
      <x:c r="F264" t="n">
        <x:v>147</x:v>
      </x:c>
      <x:c r="G264" t="str">
        <x:v>2023-02-16</x:v>
      </x:c>
      <x:c r="H264" t="str">
        <x:v>https://s26.q4cdn.com/410417801/files/doc_financials/2022/ar/B/Travelers-2022-Annual-Report-pdf.pdf</x:v>
      </x:c>
      <x:c r="I264" t="str">
        <x:v>https://www.sec.gov/Archives/edgar/data/86312/000008631223000011/0000086312-23-000011-index.htm</x:v>
      </x:c>
      <x:c r="J264" t="str">
        <x:v>294fc17bdf196969c710ce679ef9470ca87e3d059b50f898fe487e5c68dd107d</x:v>
      </x:c>
    </x:row>
    <x:row r="265">
      <x:c r="A265" t="n">
        <x:v>2022</x:v>
      </x:c>
      <x:c r="B265" t="str">
        <x:v>ceded_written</x:v>
      </x:c>
      <x:c r="C265" s="1" t="n">
        <x:v>2462</x:v>
      </x:c>
      <x:c r="D265" t="str">
        <x:v>disclosed</x:v>
      </x:c>
      <x:c r="E265" t="str">
        <x:v>trv_ar_2022</x:v>
      </x:c>
      <x:c r="F265" t="n">
        <x:v>179</x:v>
      </x:c>
      <x:c r="G265" t="str">
        <x:v>2023-02-16</x:v>
      </x:c>
      <x:c r="H265" t="str">
        <x:v>https://s26.q4cdn.com/410417801/files/doc_financials/2022/ar/B/Travelers-2022-Annual-Report-pdf.pdf</x:v>
      </x:c>
      <x:c r="I265" t="str">
        <x:v>https://www.sec.gov/Archives/edgar/data/86312/000008631223000011/0000086312-23-000011-index.htm</x:v>
      </x:c>
      <x:c r="J265" t="str">
        <x:v>294fc17bdf196969c710ce679ef9470ca87e3d059b50f898fe487e5c68dd107d</x:v>
      </x:c>
    </x:row>
    <x:row r="266">
      <x:c r="A266" t="n">
        <x:v>2022</x:v>
      </x:c>
      <x:c r="B266" t="str">
        <x:v>cff</x:v>
      </x:c>
      <x:c r="C266" s="1" t="n">
        <x:v>-2669</x:v>
      </x:c>
      <x:c r="D266" t="str">
        <x:v>disclosed</x:v>
      </x:c>
      <x:c r="E266" t="str">
        <x:v>trv_ar_2022</x:v>
      </x:c>
      <x:c r="F266" t="n">
        <x:v>149</x:v>
      </x:c>
      <x:c r="G266" t="str">
        <x:v>2023-02-16</x:v>
      </x:c>
      <x:c r="H266" t="str">
        <x:v>https://s26.q4cdn.com/410417801/files/doc_financials/2022/ar/B/Travelers-2022-Annual-Report-pdf.pdf</x:v>
      </x:c>
      <x:c r="I266" t="str">
        <x:v>https://www.sec.gov/Archives/edgar/data/86312/000008631223000011/0000086312-23-000011-index.htm</x:v>
      </x:c>
      <x:c r="J266" t="str">
        <x:v>294fc17bdf196969c710ce679ef9470ca87e3d059b50f898fe487e5c68dd107d</x:v>
      </x:c>
    </x:row>
    <x:row r="267">
      <x:c r="A267" t="n">
        <x:v>2022</x:v>
      </x:c>
      <x:c r="B267" t="str">
        <x:v>cfi</x:v>
      </x:c>
      <x:c r="C267" s="1" t="n">
        <x:v>-3728</x:v>
      </x:c>
      <x:c r="D267" t="str">
        <x:v>disclosed</x:v>
      </x:c>
      <x:c r="E267" t="str">
        <x:v>trv_ar_2022</x:v>
      </x:c>
      <x:c r="F267" t="n">
        <x:v>149</x:v>
      </x:c>
      <x:c r="G267" t="str">
        <x:v>2023-02-16</x:v>
      </x:c>
      <x:c r="H267" t="str">
        <x:v>https://s26.q4cdn.com/410417801/files/doc_financials/2022/ar/B/Travelers-2022-Annual-Report-pdf.pdf</x:v>
      </x:c>
      <x:c r="I267" t="str">
        <x:v>https://www.sec.gov/Archives/edgar/data/86312/000008631223000011/0000086312-23-000011-index.htm</x:v>
      </x:c>
      <x:c r="J267" t="str">
        <x:v>294fc17bdf196969c710ce679ef9470ca87e3d059b50f898fe487e5c68dd107d</x:v>
      </x:c>
    </x:row>
    <x:row r="268">
      <x:c r="A268" t="n">
        <x:v>2022</x:v>
      </x:c>
      <x:c r="B268" t="str">
        <x:v>cfo</x:v>
      </x:c>
      <x:c r="C268" s="1" t="n">
        <x:v>6465</x:v>
      </x:c>
      <x:c r="D268" t="str">
        <x:v>disclosed</x:v>
      </x:c>
      <x:c r="E268" t="str">
        <x:v>trv_ar_2022</x:v>
      </x:c>
      <x:c r="F268" t="n">
        <x:v>149</x:v>
      </x:c>
      <x:c r="G268" t="str">
        <x:v>2023-02-16</x:v>
      </x:c>
      <x:c r="H268" t="str">
        <x:v>https://s26.q4cdn.com/410417801/files/doc_financials/2022/ar/B/Travelers-2022-Annual-Report-pdf.pdf</x:v>
      </x:c>
      <x:c r="I268" t="str">
        <x:v>https://www.sec.gov/Archives/edgar/data/86312/000008631223000011/0000086312-23-000011-index.htm</x:v>
      </x:c>
      <x:c r="J268" t="str">
        <x:v>294fc17bdf196969c710ce679ef9470ca87e3d059b50f898fe487e5c68dd107d</x:v>
      </x:c>
    </x:row>
    <x:row r="269">
      <x:c r="A269" t="n">
        <x:v>2022</x:v>
      </x:c>
      <x:c r="B269" t="str">
        <x:v>claims</x:v>
      </x:c>
      <x:c r="C269" s="1" t="n">
        <x:v>22854</x:v>
      </x:c>
      <x:c r="D269" t="str">
        <x:v>disclosed</x:v>
      </x:c>
      <x:c r="E269" t="str">
        <x:v>trv_ar_2022</x:v>
      </x:c>
      <x:c r="F269" t="n">
        <x:v>145</x:v>
      </x:c>
      <x:c r="G269" t="str">
        <x:v>2023-02-16</x:v>
      </x:c>
      <x:c r="H269" t="str">
        <x:v>https://s26.q4cdn.com/410417801/files/doc_financials/2022/ar/B/Travelers-2022-Annual-Report-pdf.pdf</x:v>
      </x:c>
      <x:c r="I269" t="str">
        <x:v>https://www.sec.gov/Archives/edgar/data/86312/000008631223000011/0000086312-23-000011-index.htm</x:v>
      </x:c>
      <x:c r="J269" t="str">
        <x:v>294fc17bdf196969c710ce679ef9470ca87e3d059b50f898fe487e5c68dd107d</x:v>
      </x:c>
    </x:row>
    <x:row r="270">
      <x:c r="A270" t="n">
        <x:v>2022</x:v>
      </x:c>
      <x:c r="B270" t="str">
        <x:v>closing_aoci</x:v>
      </x:c>
      <x:c r="C270" s="1" t="n">
        <x:v>-6445</x:v>
      </x:c>
      <x:c r="D270" t="str">
        <x:v>disclosed</x:v>
      </x:c>
      <x:c r="E270" t="str">
        <x:v>trv_ar_2022</x:v>
      </x:c>
      <x:c r="F270" t="n">
        <x:v>148</x:v>
      </x:c>
      <x:c r="G270" t="str">
        <x:v>2023-02-16</x:v>
      </x:c>
      <x:c r="H270" t="str">
        <x:v>https://s26.q4cdn.com/410417801/files/doc_financials/2022/ar/B/Travelers-2022-Annual-Report-pdf.pdf</x:v>
      </x:c>
      <x:c r="I270" t="str">
        <x:v>https://www.sec.gov/Archives/edgar/data/86312/000008631223000011/0000086312-23-000011-index.htm</x:v>
      </x:c>
      <x:c r="J270" t="str">
        <x:v>294fc17bdf196969c710ce679ef9470ca87e3d059b50f898fe487e5c68dd107d</x:v>
      </x:c>
    </x:row>
    <x:row r="271">
      <x:c r="A271" t="n">
        <x:v>2022</x:v>
      </x:c>
      <x:c r="B271" t="str">
        <x:v>closing_equity</x:v>
      </x:c>
      <x:c r="C271" s="1" t="n">
        <x:v>21560</x:v>
      </x:c>
      <x:c r="D271" t="str">
        <x:v>disclosed</x:v>
      </x:c>
      <x:c r="E271" t="str">
        <x:v>trv_ar_2022</x:v>
      </x:c>
      <x:c r="F271" t="n">
        <x:v>148</x:v>
      </x:c>
      <x:c r="G271" t="str">
        <x:v>2023-02-16</x:v>
      </x:c>
      <x:c r="H271" t="str">
        <x:v>https://s26.q4cdn.com/410417801/files/doc_financials/2022/ar/B/Travelers-2022-Annual-Report-pdf.pdf</x:v>
      </x:c>
      <x:c r="I271" t="str">
        <x:v>https://www.sec.gov/Archives/edgar/data/86312/000008631223000011/0000086312-23-000011-index.htm</x:v>
      </x:c>
      <x:c r="J271" t="str">
        <x:v>294fc17bdf196969c710ce679ef9470ca87e3d059b50f898fe487e5c68dd107d</x:v>
      </x:c>
    </x:row>
    <x:row r="272">
      <x:c r="A272" t="n">
        <x:v>2022</x:v>
      </x:c>
      <x:c r="B272" t="str">
        <x:v>closing_shares</x:v>
      </x:c>
      <x:c r="C272" s="1" t="n">
        <x:v>232.1</x:v>
      </x:c>
      <x:c r="D272" t="str">
        <x:v>disclosed</x:v>
      </x:c>
      <x:c r="E272" t="str">
        <x:v>trv_ar_2022</x:v>
      </x:c>
      <x:c r="F272" t="n">
        <x:v>148</x:v>
      </x:c>
      <x:c r="G272" t="str">
        <x:v>2023-02-16</x:v>
      </x:c>
      <x:c r="H272" t="str">
        <x:v>https://s26.q4cdn.com/410417801/files/doc_financials/2022/ar/B/Travelers-2022-Annual-Report-pdf.pdf</x:v>
      </x:c>
      <x:c r="I272" t="str">
        <x:v>https://www.sec.gov/Archives/edgar/data/86312/000008631223000011/0000086312-23-000011-index.htm</x:v>
      </x:c>
      <x:c r="J272" t="str">
        <x:v>294fc17bdf196969c710ce679ef9470ca87e3d059b50f898fe487e5c68dd107d</x:v>
      </x:c>
    </x:row>
    <x:row r="273">
      <x:c r="A273" t="n">
        <x:v>2022</x:v>
      </x:c>
      <x:c r="B273" t="str">
        <x:v>common_stock</x:v>
      </x:c>
      <x:c r="C273" s="1" t="n">
        <x:v>24565</x:v>
      </x:c>
      <x:c r="D273" t="str">
        <x:v>disclosed</x:v>
      </x:c>
      <x:c r="E273" t="str">
        <x:v>trv_ar_2023</x:v>
      </x:c>
      <x:c r="F273" t="n">
        <x:v>147</x:v>
      </x:c>
      <x:c r="G273" t="str">
        <x:v>2024-02-15</x:v>
      </x:c>
      <x:c r="H273" t="str">
        <x:v>https://s26.q4cdn.com/410417801/files/doc_financials/2023/ar/Travelers-2023-Annual__Report.pdf</x:v>
      </x:c>
      <x:c r="I273" t="str">
        <x:v>https://www.sec.gov/Archives/edgar/data/86312/000008631224000012/0000086312-24-000012-index.htm</x:v>
      </x:c>
      <x:c r="J273" t="str">
        <x:v>53f73eab62a87649bddd9402c5e9b9fb7087192b4df27a788f7b1189250829e3</x:v>
      </x:c>
    </x:row>
    <x:row r="274">
      <x:c r="A274" t="n">
        <x:v>2022</x:v>
      </x:c>
      <x:c r="B274" t="str">
        <x:v>contractholder_payables</x:v>
      </x:c>
      <x:c r="C274" s="1" t="n">
        <x:v>3596</x:v>
      </x:c>
      <x:c r="D274" t="str">
        <x:v>disclosed</x:v>
      </x:c>
      <x:c r="E274" t="str">
        <x:v>trv_ar_2023</x:v>
      </x:c>
      <x:c r="F274" t="n">
        <x:v>147</x:v>
      </x:c>
      <x:c r="G274" t="str">
        <x:v>2024-02-15</x:v>
      </x:c>
      <x:c r="H274" t="str">
        <x:v>https://s26.q4cdn.com/410417801/files/doc_financials/2023/ar/Travelers-2023-Annual__Report.pdf</x:v>
      </x:c>
      <x:c r="I274" t="str">
        <x:v>https://www.sec.gov/Archives/edgar/data/86312/000008631224000012/0000086312-24-000012-index.htm</x:v>
      </x:c>
      <x:c r="J274" t="str">
        <x:v>53f73eab62a87649bddd9402c5e9b9fb7087192b4df27a788f7b1189250829e3</x:v>
      </x:c>
    </x:row>
    <x:row r="275">
      <x:c r="A275" t="n">
        <x:v>2022</x:v>
      </x:c>
      <x:c r="B275" t="str">
        <x:v>contractholder_receivables</x:v>
      </x:c>
      <x:c r="C275" s="1" t="n">
        <x:v>3579</x:v>
      </x:c>
      <x:c r="D275" t="str">
        <x:v>disclosed</x:v>
      </x:c>
      <x:c r="E275" t="str">
        <x:v>trv_ar_2023</x:v>
      </x:c>
      <x:c r="F275" t="n">
        <x:v>147</x:v>
      </x:c>
      <x:c r="G275" t="str">
        <x:v>2024-02-15</x:v>
      </x:c>
      <x:c r="H275" t="str">
        <x:v>https://s26.q4cdn.com/410417801/files/doc_financials/2023/ar/Travelers-2023-Annual__Report.pdf</x:v>
      </x:c>
      <x:c r="I275" t="str">
        <x:v>https://www.sec.gov/Archives/edgar/data/86312/000008631224000012/0000086312-24-000012-index.htm</x:v>
      </x:c>
      <x:c r="J275" t="str">
        <x:v>53f73eab62a87649bddd9402c5e9b9fb7087192b4df27a788f7b1189250829e3</x:v>
      </x:c>
    </x:row>
    <x:row r="276">
      <x:c r="A276" t="n">
        <x:v>2022</x:v>
      </x:c>
      <x:c r="B276" t="str">
        <x:v>current_incurred</x:v>
      </x:c>
      <x:c r="C276" s="1" t="n">
        <x:v>23308</x:v>
      </x:c>
      <x:c r="D276" t="str">
        <x:v>disclosed</x:v>
      </x:c>
      <x:c r="E276" t="str">
        <x:v>trv_ar_2023</x:v>
      </x:c>
      <x:c r="F276" t="n">
        <x:v>181</x:v>
      </x:c>
      <x:c r="G276" t="str">
        <x:v>2024-02-15</x:v>
      </x:c>
      <x:c r="H276" t="str">
        <x:v>https://s26.q4cdn.com/410417801/files/doc_financials/2023/ar/Travelers-2023-Annual__Report.pdf</x:v>
      </x:c>
      <x:c r="I276" t="str">
        <x:v>https://www.sec.gov/Archives/edgar/data/86312/000008631224000012/0000086312-24-000012-index.htm</x:v>
      </x:c>
      <x:c r="J276" t="str">
        <x:v>53f73eab62a87649bddd9402c5e9b9fb7087192b4df27a788f7b1189250829e3</x:v>
      </x:c>
    </x:row>
    <x:row r="277">
      <x:c r="A277" t="n">
        <x:v>2022</x:v>
      </x:c>
      <x:c r="B277" t="str">
        <x:v>dac</x:v>
      </x:c>
      <x:c r="C277" s="1" t="n">
        <x:v>2836</x:v>
      </x:c>
      <x:c r="D277" t="str">
        <x:v>disclosed</x:v>
      </x:c>
      <x:c r="E277" t="str">
        <x:v>trv_ar_2022</x:v>
      </x:c>
      <x:c r="F277" t="n">
        <x:v>147</x:v>
      </x:c>
      <x:c r="G277" t="str">
        <x:v>2023-02-16</x:v>
      </x:c>
      <x:c r="H277" t="str">
        <x:v>https://s26.q4cdn.com/410417801/files/doc_financials/2022/ar/B/Travelers-2022-Annual-Report-pdf.pdf</x:v>
      </x:c>
      <x:c r="I277" t="str">
        <x:v>https://www.sec.gov/Archives/edgar/data/86312/000008631223000011/0000086312-23-000011-index.htm</x:v>
      </x:c>
      <x:c r="J277" t="str">
        <x:v>294fc17bdf196969c710ce679ef9470ca87e3d059b50f898fe487e5c68dd107d</x:v>
      </x:c>
    </x:row>
    <x:row r="278">
      <x:c r="A278" t="n">
        <x:v>2022</x:v>
      </x:c>
      <x:c r="B278" t="str">
        <x:v>dac_amortization</x:v>
      </x:c>
      <x:c r="C278" s="1" t="n">
        <x:v>5515</x:v>
      </x:c>
      <x:c r="D278" t="str">
        <x:v>disclosed</x:v>
      </x:c>
      <x:c r="E278" t="str">
        <x:v>trv_ar_2022</x:v>
      </x:c>
      <x:c r="F278" t="n">
        <x:v>145</x:v>
      </x:c>
      <x:c r="G278" t="str">
        <x:v>2023-02-16</x:v>
      </x:c>
      <x:c r="H278" t="str">
        <x:v>https://s26.q4cdn.com/410417801/files/doc_financials/2022/ar/B/Travelers-2022-Annual-Report-pdf.pdf</x:v>
      </x:c>
      <x:c r="I278" t="str">
        <x:v>https://www.sec.gov/Archives/edgar/data/86312/000008631223000011/0000086312-23-000011-index.htm</x:v>
      </x:c>
      <x:c r="J278" t="str">
        <x:v>294fc17bdf196969c710ce679ef9470ca87e3d059b50f898fe487e5c68dd107d</x:v>
      </x:c>
    </x:row>
    <x:row r="279">
      <x:c r="A279" t="n">
        <x:v>2022</x:v>
      </x:c>
      <x:c r="B279" t="str">
        <x:v>dac_cash_additions</x:v>
      </x:c>
      <x:c r="C279" s="1" t="n">
        <x:v>5824</x:v>
      </x:c>
      <x:c r="D279" t="str">
        <x:v>disclosed</x:v>
      </x:c>
      <x:c r="E279" t="str">
        <x:v>trv_ar_2022</x:v>
      </x:c>
      <x:c r="F279" t="n">
        <x:v>149</x:v>
      </x:c>
      <x:c r="G279" t="str">
        <x:v>2023-02-16</x:v>
      </x:c>
      <x:c r="H279" t="str">
        <x:v>https://s26.q4cdn.com/410417801/files/doc_financials/2022/ar/B/Travelers-2022-Annual-Report-pdf.pdf</x:v>
      </x:c>
      <x:c r="I279" t="str">
        <x:v>https://www.sec.gov/Archives/edgar/data/86312/000008631223000011/0000086312-23-000011-index.htm</x:v>
      </x:c>
      <x:c r="J279" t="str">
        <x:v>294fc17bdf196969c710ce679ef9470ca87e3d059b50f898fe487e5c68dd107d</x:v>
      </x:c>
    </x:row>
    <x:row r="280">
      <x:c r="A280" t="n">
        <x:v>2022</x:v>
      </x:c>
      <x:c r="B280" t="str">
        <x:v>debt</x:v>
      </x:c>
      <x:c r="C280" s="1" t="n">
        <x:v>7292</x:v>
      </x:c>
      <x:c r="D280" t="str">
        <x:v>disclosed</x:v>
      </x:c>
      <x:c r="E280" t="str">
        <x:v>trv_ar_2022</x:v>
      </x:c>
      <x:c r="F280" t="n">
        <x:v>147</x:v>
      </x:c>
      <x:c r="G280" t="str">
        <x:v>2023-02-16</x:v>
      </x:c>
      <x:c r="H280" t="str">
        <x:v>https://s26.q4cdn.com/410417801/files/doc_financials/2022/ar/B/Travelers-2022-Annual-Report-pdf.pdf</x:v>
      </x:c>
      <x:c r="I280" t="str">
        <x:v>https://www.sec.gov/Archives/edgar/data/86312/000008631223000011/0000086312-23-000011-index.htm</x:v>
      </x:c>
      <x:c r="J280" t="str">
        <x:v>294fc17bdf196969c710ce679ef9470ca87e3d059b50f898fe487e5c68dd107d</x:v>
      </x:c>
    </x:row>
    <x:row r="281">
      <x:c r="A281" t="n">
        <x:v>2022</x:v>
      </x:c>
      <x:c r="B281" t="str">
        <x:v>debt_issuance</x:v>
      </x:c>
      <x:c r="C281" s="1" t="n">
        <x:v>0</x:v>
      </x:c>
      <x:c r="D281" t="str">
        <x:v>disclosed</x:v>
      </x:c>
      <x:c r="E281" t="str">
        <x:v>trv_ar_2022</x:v>
      </x:c>
      <x:c r="F281" t="n">
        <x:v>149</x:v>
      </x:c>
      <x:c r="G281" t="str">
        <x:v>2023-02-16</x:v>
      </x:c>
      <x:c r="H281" t="str">
        <x:v>https://s26.q4cdn.com/410417801/files/doc_financials/2022/ar/B/Travelers-2022-Annual-Report-pdf.pdf</x:v>
      </x:c>
      <x:c r="I281" t="str">
        <x:v>https://www.sec.gov/Archives/edgar/data/86312/000008631223000011/0000086312-23-000011-index.htm</x:v>
      </x:c>
      <x:c r="J281" t="str">
        <x:v>294fc17bdf196969c710ce679ef9470ca87e3d059b50f898fe487e5c68dd107d</x:v>
      </x:c>
    </x:row>
    <x:row r="282">
      <x:c r="A282" t="n">
        <x:v>2022</x:v>
      </x:c>
      <x:c r="B282" t="str">
        <x:v>debt_repayment</x:v>
      </x:c>
      <x:c r="C282" s="1" t="n">
        <x:v>0</x:v>
      </x:c>
      <x:c r="D282" t="str">
        <x:v>disclosed</x:v>
      </x:c>
      <x:c r="E282" t="str">
        <x:v>trv_ar_2022</x:v>
      </x:c>
      <x:c r="F282" t="n">
        <x:v>149</x:v>
      </x:c>
      <x:c r="G282" t="str">
        <x:v>2023-02-16</x:v>
      </x:c>
      <x:c r="H282" t="str">
        <x:v>https://s26.q4cdn.com/410417801/files/doc_financials/2022/ar/B/Travelers-2022-Annual-Report-pdf.pdf</x:v>
      </x:c>
      <x:c r="I282" t="str">
        <x:v>https://www.sec.gov/Archives/edgar/data/86312/000008631223000011/0000086312-23-000011-index.htm</x:v>
      </x:c>
      <x:c r="J282" t="str">
        <x:v>294fc17bdf196969c710ce679ef9470ca87e3d059b50f898fe487e5c68dd107d</x:v>
      </x:c>
    </x:row>
    <x:row r="283">
      <x:c r="A283" t="n">
        <x:v>2022</x:v>
      </x:c>
      <x:c r="B283" t="str">
        <x:v>deferred_tax_asset</x:v>
      </x:c>
      <x:c r="C283" s="1" t="n">
        <x:v>1877</x:v>
      </x:c>
      <x:c r="D283" t="str">
        <x:v>disclosed</x:v>
      </x:c>
      <x:c r="E283" t="str">
        <x:v>trv_ar_2023</x:v>
      </x:c>
      <x:c r="F283" t="n">
        <x:v>147</x:v>
      </x:c>
      <x:c r="G283" t="str">
        <x:v>2024-02-15</x:v>
      </x:c>
      <x:c r="H283" t="str">
        <x:v>https://s26.q4cdn.com/410417801/files/doc_financials/2023/ar/Travelers-2023-Annual__Report.pdf</x:v>
      </x:c>
      <x:c r="I283" t="str">
        <x:v>https://www.sec.gov/Archives/edgar/data/86312/000008631224000012/0000086312-24-000012-index.htm</x:v>
      </x:c>
      <x:c r="J283" t="str">
        <x:v>53f73eab62a87649bddd9402c5e9b9fb7087192b4df27a788f7b1189250829e3</x:v>
      </x:c>
    </x:row>
    <x:row r="284">
      <x:c r="A284" t="n">
        <x:v>2022</x:v>
      </x:c>
      <x:c r="B284" t="str">
        <x:v>direct_earned</x:v>
      </x:c>
      <x:c r="C284" s="1" t="n">
        <x:v>34948</x:v>
      </x:c>
      <x:c r="D284" t="str">
        <x:v>disclosed</x:v>
      </x:c>
      <x:c r="E284" t="str">
        <x:v>trv_ar_2022</x:v>
      </x:c>
      <x:c r="F284" t="n">
        <x:v>179</x:v>
      </x:c>
      <x:c r="G284" t="str">
        <x:v>2023-02-16</x:v>
      </x:c>
      <x:c r="H284" t="str">
        <x:v>https://s26.q4cdn.com/410417801/files/doc_financials/2022/ar/B/Travelers-2022-Annual-Report-pdf.pdf</x:v>
      </x:c>
      <x:c r="I284" t="str">
        <x:v>https://www.sec.gov/Archives/edgar/data/86312/000008631223000011/0000086312-23-000011-index.htm</x:v>
      </x:c>
      <x:c r="J284" t="str">
        <x:v>294fc17bdf196969c710ce679ef9470ca87e3d059b50f898fe487e5c68dd107d</x:v>
      </x:c>
    </x:row>
    <x:row r="285">
      <x:c r="A285" t="n">
        <x:v>2022</x:v>
      </x:c>
      <x:c r="B285" t="str">
        <x:v>direct_written</x:v>
      </x:c>
      <x:c r="C285" s="1" t="n">
        <x:v>36648</x:v>
      </x:c>
      <x:c r="D285" t="str">
        <x:v>disclosed</x:v>
      </x:c>
      <x:c r="E285" t="str">
        <x:v>trv_ar_2022</x:v>
      </x:c>
      <x:c r="F285" t="n">
        <x:v>179</x:v>
      </x:c>
      <x:c r="G285" t="str">
        <x:v>2023-02-16</x:v>
      </x:c>
      <x:c r="H285" t="str">
        <x:v>https://s26.q4cdn.com/410417801/files/doc_financials/2022/ar/B/Travelers-2022-Annual-Report-pdf.pdf</x:v>
      </x:c>
      <x:c r="I285" t="str">
        <x:v>https://www.sec.gov/Archives/edgar/data/86312/000008631223000011/0000086312-23-000011-index.htm</x:v>
      </x:c>
      <x:c r="J285" t="str">
        <x:v>294fc17bdf196969c710ce679ef9470ca87e3d059b50f898fe487e5c68dd107d</x:v>
      </x:c>
    </x:row>
    <x:row r="286">
      <x:c r="A286" t="n">
        <x:v>2022</x:v>
      </x:c>
      <x:c r="B286" t="str">
        <x:v>dividends_cash</x:v>
      </x:c>
      <x:c r="C286" s="1" t="n">
        <x:v>875</x:v>
      </x:c>
      <x:c r="D286" t="str">
        <x:v>disclosed</x:v>
      </x:c>
      <x:c r="E286" t="str">
        <x:v>trv_ar_2022</x:v>
      </x:c>
      <x:c r="F286" t="n">
        <x:v>149</x:v>
      </x:c>
      <x:c r="G286" t="str">
        <x:v>2023-02-16</x:v>
      </x:c>
      <x:c r="H286" t="str">
        <x:v>https://s26.q4cdn.com/410417801/files/doc_financials/2022/ar/B/Travelers-2022-Annual-Report-pdf.pdf</x:v>
      </x:c>
      <x:c r="I286" t="str">
        <x:v>https://www.sec.gov/Archives/edgar/data/86312/000008631223000011/0000086312-23-000011-index.htm</x:v>
      </x:c>
      <x:c r="J286" t="str">
        <x:v>294fc17bdf196969c710ce679ef9470ca87e3d059b50f898fe487e5c68dd107d</x:v>
      </x:c>
    </x:row>
    <x:row r="287">
      <x:c r="A287" t="n">
        <x:v>2022</x:v>
      </x:c>
      <x:c r="B287" t="str">
        <x:v>employee_option_cash</x:v>
      </x:c>
      <x:c r="C287" s="1" t="n">
        <x:v>267</x:v>
      </x:c>
      <x:c r="D287" t="str">
        <x:v>disclosed</x:v>
      </x:c>
      <x:c r="E287" t="str">
        <x:v>trv_ar_2022</x:v>
      </x:c>
      <x:c r="F287" t="n">
        <x:v>149</x:v>
      </x:c>
      <x:c r="G287" t="str">
        <x:v>2023-02-16</x:v>
      </x:c>
      <x:c r="H287" t="str">
        <x:v>https://s26.q4cdn.com/410417801/files/doc_financials/2022/ar/B/Travelers-2022-Annual-Report-pdf.pdf</x:v>
      </x:c>
      <x:c r="I287" t="str">
        <x:v>https://www.sec.gov/Archives/edgar/data/86312/000008631223000011/0000086312-23-000011-index.htm</x:v>
      </x:c>
      <x:c r="J287" t="str">
        <x:v>294fc17bdf196969c710ce679ef9470ca87e3d059b50f898fe487e5c68dd107d</x:v>
      </x:c>
    </x:row>
    <x:row r="288">
      <x:c r="A288" t="n">
        <x:v>2022</x:v>
      </x:c>
      <x:c r="B288" t="str">
        <x:v>employee_share_net_cash</x:v>
      </x:c>
      <x:c r="C288" s="1" t="n">
        <x:v>61</x:v>
      </x:c>
      <x:c r="D288" t="str">
        <x:v>disclosed</x:v>
      </x:c>
      <x:c r="E288" t="str">
        <x:v>trv_ar_2022</x:v>
      </x:c>
      <x:c r="F288" t="n">
        <x:v>149</x:v>
      </x:c>
      <x:c r="G288" t="str">
        <x:v>2023-02-16</x:v>
      </x:c>
      <x:c r="H288" t="str">
        <x:v>https://s26.q4cdn.com/410417801/files/doc_financials/2022/ar/B/Travelers-2022-Annual-Report-pdf.pdf</x:v>
      </x:c>
      <x:c r="I288" t="str">
        <x:v>https://www.sec.gov/Archives/edgar/data/86312/000008631223000011/0000086312-23-000011-index.htm</x:v>
      </x:c>
      <x:c r="J288" t="str">
        <x:v>294fc17bdf196969c710ce679ef9470ca87e3d059b50f898fe487e5c68dd107d</x:v>
      </x:c>
    </x:row>
    <x:row r="289">
      <x:c r="A289" t="n">
        <x:v>2022</x:v>
      </x:c>
      <x:c r="B289" t="str">
        <x:v>employee_shares_equity</x:v>
      </x:c>
      <x:c r="C289" s="1" t="n">
        <x:v>227</x:v>
      </x:c>
      <x:c r="D289" t="str">
        <x:v>disclosed</x:v>
      </x:c>
      <x:c r="E289" t="str">
        <x:v>trv_ar_2022</x:v>
      </x:c>
      <x:c r="F289" t="n">
        <x:v>148</x:v>
      </x:c>
      <x:c r="G289" t="str">
        <x:v>2023-02-16</x:v>
      </x:c>
      <x:c r="H289" t="str">
        <x:v>https://s26.q4cdn.com/410417801/files/doc_financials/2022/ar/B/Travelers-2022-Annual-Report-pdf.pdf</x:v>
      </x:c>
      <x:c r="I289" t="str">
        <x:v>https://www.sec.gov/Archives/edgar/data/86312/000008631223000011/0000086312-23-000011-index.htm</x:v>
      </x:c>
      <x:c r="J289" t="str">
        <x:v>294fc17bdf196969c710ce679ef9470ca87e3d059b50f898fe487e5c68dd107d</x:v>
      </x:c>
    </x:row>
    <x:row r="290">
      <x:c r="A290" t="n">
        <x:v>2022</x:v>
      </x:c>
      <x:c r="B290" t="str">
        <x:v>equity</x:v>
      </x:c>
      <x:c r="C290" s="1" t="n">
        <x:v>21560</x:v>
      </x:c>
      <x:c r="D290" t="str">
        <x:v>disclosed</x:v>
      </x:c>
      <x:c r="E290" t="str">
        <x:v>trv_ar_2022</x:v>
      </x:c>
      <x:c r="F290" t="n">
        <x:v>147</x:v>
      </x:c>
      <x:c r="G290" t="str">
        <x:v>2023-02-16</x:v>
      </x:c>
      <x:c r="H290" t="str">
        <x:v>https://s26.q4cdn.com/410417801/files/doc_financials/2022/ar/B/Travelers-2022-Annual-Report-pdf.pdf</x:v>
      </x:c>
      <x:c r="I290" t="str">
        <x:v>https://www.sec.gov/Archives/edgar/data/86312/000008631223000011/0000086312-23-000011-index.htm</x:v>
      </x:c>
      <x:c r="J290" t="str">
        <x:v>294fc17bdf196969c710ce679ef9470ca87e3d059b50f898fe487e5c68dd107d</x:v>
      </x:c>
    </x:row>
    <x:row r="291">
      <x:c r="A291" t="n">
        <x:v>2022</x:v>
      </x:c>
      <x:c r="B291" t="str">
        <x:v>equity_buybacks_authorized</x:v>
      </x:c>
      <x:c r="C291" s="1" t="n">
        <x:v>2000</x:v>
      </x:c>
      <x:c r="D291" t="str">
        <x:v>disclosed</x:v>
      </x:c>
      <x:c r="E291" t="str">
        <x:v>trv_ar_2022</x:v>
      </x:c>
      <x:c r="F291" t="n">
        <x:v>148</x:v>
      </x:c>
      <x:c r="G291" t="str">
        <x:v>2023-02-16</x:v>
      </x:c>
      <x:c r="H291" t="str">
        <x:v>https://s26.q4cdn.com/410417801/files/doc_financials/2022/ar/B/Travelers-2022-Annual-Report-pdf.pdf</x:v>
      </x:c>
      <x:c r="I291" t="str">
        <x:v>https://www.sec.gov/Archives/edgar/data/86312/000008631223000011/0000086312-23-000011-index.htm</x:v>
      </x:c>
      <x:c r="J291" t="str">
        <x:v>294fc17bdf196969c710ce679ef9470ca87e3d059b50f898fe487e5c68dd107d</x:v>
      </x:c>
    </x:row>
    <x:row r="292">
      <x:c r="A292" t="n">
        <x:v>2022</x:v>
      </x:c>
      <x:c r="B292" t="str">
        <x:v>equity_dividends</x:v>
      </x:c>
      <x:c r="C292" s="1" t="n">
        <x:v>880</x:v>
      </x:c>
      <x:c r="D292" t="str">
        <x:v>disclosed</x:v>
      </x:c>
      <x:c r="E292" t="str">
        <x:v>trv_ar_2022</x:v>
      </x:c>
      <x:c r="F292" t="n">
        <x:v>148</x:v>
      </x:c>
      <x:c r="G292" t="str">
        <x:v>2023-02-16</x:v>
      </x:c>
      <x:c r="H292" t="str">
        <x:v>https://s26.q4cdn.com/410417801/files/doc_financials/2022/ar/B/Travelers-2022-Annual-Report-pdf.pdf</x:v>
      </x:c>
      <x:c r="I292" t="str">
        <x:v>https://www.sec.gov/Archives/edgar/data/86312/000008631223000011/0000086312-23-000011-index.htm</x:v>
      </x:c>
      <x:c r="J292" t="str">
        <x:v>294fc17bdf196969c710ce679ef9470ca87e3d059b50f898fe487e5c68dd107d</x:v>
      </x:c>
    </x:row>
    <x:row r="293">
      <x:c r="A293" t="n">
        <x:v>2022</x:v>
      </x:c>
      <x:c r="B293" t="str">
        <x:v>equity_employee_treasury</x:v>
      </x:c>
      <x:c r="C293" s="1" t="n">
        <x:v>61</x:v>
      </x:c>
      <x:c r="D293" t="str">
        <x:v>disclosed</x:v>
      </x:c>
      <x:c r="E293" t="str">
        <x:v>trv_ar_2022</x:v>
      </x:c>
      <x:c r="F293" t="n">
        <x:v>148</x:v>
      </x:c>
      <x:c r="G293" t="str">
        <x:v>2023-02-16</x:v>
      </x:c>
      <x:c r="H293" t="str">
        <x:v>https://s26.q4cdn.com/410417801/files/doc_financials/2022/ar/B/Travelers-2022-Annual-Report-pdf.pdf</x:v>
      </x:c>
      <x:c r="I293" t="str">
        <x:v>https://www.sec.gov/Archives/edgar/data/86312/000008631223000011/0000086312-23-000011-index.htm</x:v>
      </x:c>
      <x:c r="J293" t="str">
        <x:v>294fc17bdf196969c710ce679ef9470ca87e3d059b50f898fe487e5c68dd107d</x:v>
      </x:c>
    </x:row>
    <x:row r="294">
      <x:c r="A294" t="n">
        <x:v>2022</x:v>
      </x:c>
      <x:c r="B294" t="str">
        <x:v>equity_investments</x:v>
      </x:c>
      <x:c r="C294" s="1" t="n">
        <x:v>807</x:v>
      </x:c>
      <x:c r="D294" t="str">
        <x:v>disclosed</x:v>
      </x:c>
      <x:c r="E294" t="str">
        <x:v>trv_ar_2022</x:v>
      </x:c>
      <x:c r="F294" t="n">
        <x:v>147</x:v>
      </x:c>
      <x:c r="G294" t="str">
        <x:v>2023-02-16</x:v>
      </x:c>
      <x:c r="H294" t="str">
        <x:v>https://s26.q4cdn.com/410417801/files/doc_financials/2022/ar/B/Travelers-2022-Annual-Report-pdf.pdf</x:v>
      </x:c>
      <x:c r="I294" t="str">
        <x:v>https://www.sec.gov/Archives/edgar/data/86312/000008631223000011/0000086312-23-000011-index.htm</x:v>
      </x:c>
      <x:c r="J294" t="str">
        <x:v>294fc17bdf196969c710ce679ef9470ca87e3d059b50f898fe487e5c68dd107d</x:v>
      </x:c>
    </x:row>
    <x:row r="295">
      <x:c r="A295" t="n">
        <x:v>2022</x:v>
      </x:c>
      <x:c r="B295" t="str">
        <x:v>equity_security_purchases</x:v>
      </x:c>
      <x:c r="C295" s="1" t="n">
        <x:v>136</x:v>
      </x:c>
      <x:c r="D295" t="str">
        <x:v>disclosed</x:v>
      </x:c>
      <x:c r="E295" t="str">
        <x:v>trv_ar_2022</x:v>
      </x:c>
      <x:c r="F295" t="n">
        <x:v>149</x:v>
      </x:c>
      <x:c r="G295" t="str">
        <x:v>2023-02-16</x:v>
      </x:c>
      <x:c r="H295" t="str">
        <x:v>https://s26.q4cdn.com/410417801/files/doc_financials/2022/ar/B/Travelers-2022-Annual-Report-pdf.pdf</x:v>
      </x:c>
      <x:c r="I295" t="str">
        <x:v>https://www.sec.gov/Archives/edgar/data/86312/000008631223000011/0000086312-23-000011-index.htm</x:v>
      </x:c>
      <x:c r="J295" t="str">
        <x:v>294fc17bdf196969c710ce679ef9470ca87e3d059b50f898fe487e5c68dd107d</x:v>
      </x:c>
    </x:row>
    <x:row r="296">
      <x:c r="A296" t="n">
        <x:v>2022</x:v>
      </x:c>
      <x:c r="B296" t="str">
        <x:v>equity_security_sale_proceeds</x:v>
      </x:c>
      <x:c r="C296" s="1" t="n">
        <x:v>138</x:v>
      </x:c>
      <x:c r="D296" t="str">
        <x:v>disclosed</x:v>
      </x:c>
      <x:c r="E296" t="str">
        <x:v>trv_ar_2022</x:v>
      </x:c>
      <x:c r="F296" t="n">
        <x:v>149</x:v>
      </x:c>
      <x:c r="G296" t="str">
        <x:v>2023-02-16</x:v>
      </x:c>
      <x:c r="H296" t="str">
        <x:v>https://s26.q4cdn.com/410417801/files/doc_financials/2022/ar/B/Travelers-2022-Annual-Report-pdf.pdf</x:v>
      </x:c>
      <x:c r="I296" t="str">
        <x:v>https://www.sec.gov/Archives/edgar/data/86312/000008631223000011/0000086312-23-000011-index.htm</x:v>
      </x:c>
      <x:c r="J296" t="str">
        <x:v>294fc17bdf196969c710ce679ef9470ca87e3d059b50f898fe487e5c68dd107d</x:v>
      </x:c>
    </x:row>
    <x:row r="297">
      <x:c r="A297" t="n">
        <x:v>2022</x:v>
      </x:c>
      <x:c r="B297" t="str">
        <x:v>fee_income</x:v>
      </x:c>
      <x:c r="C297" s="1" t="n">
        <x:v>412</x:v>
      </x:c>
      <x:c r="D297" t="str">
        <x:v>disclosed</x:v>
      </x:c>
      <x:c r="E297" t="str">
        <x:v>trv_ar_2022</x:v>
      </x:c>
      <x:c r="F297" t="n">
        <x:v>145</x:v>
      </x:c>
      <x:c r="G297" t="str">
        <x:v>2023-02-16</x:v>
      </x:c>
      <x:c r="H297" t="str">
        <x:v>https://s26.q4cdn.com/410417801/files/doc_financials/2022/ar/B/Travelers-2022-Annual-Report-pdf.pdf</x:v>
      </x:c>
      <x:c r="I297" t="str">
        <x:v>https://www.sec.gov/Archives/edgar/data/86312/000008631223000011/0000086312-23-000011-index.htm</x:v>
      </x:c>
      <x:c r="J297" t="str">
        <x:v>294fc17bdf196969c710ce679ef9470ca87e3d059b50f898fe487e5c68dd107d</x:v>
      </x:c>
    </x:row>
    <x:row r="298">
      <x:c r="A298" t="n">
        <x:v>2022</x:v>
      </x:c>
      <x:c r="B298" t="str">
        <x:v>fixed_maturity_cost</x:v>
      </x:c>
      <x:c r="C298" s="1" t="n">
        <x:v>77380</x:v>
      </x:c>
      <x:c r="D298" t="str">
        <x:v>disclosed</x:v>
      </x:c>
      <x:c r="E298" t="str">
        <x:v>trv_ar_2022</x:v>
      </x:c>
      <x:c r="F298" t="n">
        <x:v>147</x:v>
      </x:c>
      <x:c r="G298" t="str">
        <x:v>2023-02-16</x:v>
      </x:c>
      <x:c r="H298" t="str">
        <x:v>https://s26.q4cdn.com/410417801/files/doc_financials/2022/ar/B/Travelers-2022-Annual-Report-pdf.pdf</x:v>
      </x:c>
      <x:c r="I298" t="str">
        <x:v>https://www.sec.gov/Archives/edgar/data/86312/000008631223000011/0000086312-23-000011-index.htm</x:v>
      </x:c>
      <x:c r="J298" t="str">
        <x:v>294fc17bdf196969c710ce679ef9470ca87e3d059b50f898fe487e5c68dd107d</x:v>
      </x:c>
    </x:row>
    <x:row r="299">
      <x:c r="A299" t="n">
        <x:v>2022</x:v>
      </x:c>
      <x:c r="B299" t="str">
        <x:v>fixed_maturity_fair</x:v>
      </x:c>
      <x:c r="C299" s="1" t="n">
        <x:v>71160</x:v>
      </x:c>
      <x:c r="D299" t="str">
        <x:v>disclosed</x:v>
      </x:c>
      <x:c r="E299" t="str">
        <x:v>trv_ar_2022</x:v>
      </x:c>
      <x:c r="F299" t="n">
        <x:v>147</x:v>
      </x:c>
      <x:c r="G299" t="str">
        <x:v>2023-02-16</x:v>
      </x:c>
      <x:c r="H299" t="str">
        <x:v>https://s26.q4cdn.com/410417801/files/doc_financials/2022/ar/B/Travelers-2022-Annual-Report-pdf.pdf</x:v>
      </x:c>
      <x:c r="I299" t="str">
        <x:v>https://www.sec.gov/Archives/edgar/data/86312/000008631223000011/0000086312-23-000011-index.htm</x:v>
      </x:c>
      <x:c r="J299" t="str">
        <x:v>294fc17bdf196969c710ce679ef9470ca87e3d059b50f898fe487e5c68dd107d</x:v>
      </x:c>
    </x:row>
    <x:row r="300">
      <x:c r="A300" t="n">
        <x:v>2022</x:v>
      </x:c>
      <x:c r="B300" t="str">
        <x:v>fixed_maturity_maturities</x:v>
      </x:c>
      <x:c r="C300" s="1" t="n">
        <x:v>6837</x:v>
      </x:c>
      <x:c r="D300" t="str">
        <x:v>disclosed</x:v>
      </x:c>
      <x:c r="E300" t="str">
        <x:v>trv_ar_2022</x:v>
      </x:c>
      <x:c r="F300" t="n">
        <x:v>149</x:v>
      </x:c>
      <x:c r="G300" t="str">
        <x:v>2023-02-16</x:v>
      </x:c>
      <x:c r="H300" t="str">
        <x:v>https://s26.q4cdn.com/410417801/files/doc_financials/2022/ar/B/Travelers-2022-Annual-Report-pdf.pdf</x:v>
      </x:c>
      <x:c r="I300" t="str">
        <x:v>https://www.sec.gov/Archives/edgar/data/86312/000008631223000011/0000086312-23-000011-index.htm</x:v>
      </x:c>
      <x:c r="J300" t="str">
        <x:v>294fc17bdf196969c710ce679ef9470ca87e3d059b50f898fe487e5c68dd107d</x:v>
      </x:c>
    </x:row>
    <x:row r="301">
      <x:c r="A301" t="n">
        <x:v>2022</x:v>
      </x:c>
      <x:c r="B301" t="str">
        <x:v>fixed_maturity_purchases</x:v>
      </x:c>
      <x:c r="C301" s="1" t="n">
        <x:v>15908</x:v>
      </x:c>
      <x:c r="D301" t="str">
        <x:v>disclosed</x:v>
      </x:c>
      <x:c r="E301" t="str">
        <x:v>trv_ar_2022</x:v>
      </x:c>
      <x:c r="F301" t="n">
        <x:v>149</x:v>
      </x:c>
      <x:c r="G301" t="str">
        <x:v>2023-02-16</x:v>
      </x:c>
      <x:c r="H301" t="str">
        <x:v>https://s26.q4cdn.com/410417801/files/doc_financials/2022/ar/B/Travelers-2022-Annual-Report-pdf.pdf</x:v>
      </x:c>
      <x:c r="I301" t="str">
        <x:v>https://www.sec.gov/Archives/edgar/data/86312/000008631223000011/0000086312-23-000011-index.htm</x:v>
      </x:c>
      <x:c r="J301" t="str">
        <x:v>294fc17bdf196969c710ce679ef9470ca87e3d059b50f898fe487e5c68dd107d</x:v>
      </x:c>
    </x:row>
    <x:row r="302">
      <x:c r="A302" t="n">
        <x:v>2022</x:v>
      </x:c>
      <x:c r="B302" t="str">
        <x:v>fixed_maturity_sale_proceeds</x:v>
      </x:c>
      <x:c r="C302" s="1" t="n">
        <x:v>5657</x:v>
      </x:c>
      <x:c r="D302" t="str">
        <x:v>disclosed</x:v>
      </x:c>
      <x:c r="E302" t="str">
        <x:v>trv_ar_2022</x:v>
      </x:c>
      <x:c r="F302" t="n">
        <x:v>149</x:v>
      </x:c>
      <x:c r="G302" t="str">
        <x:v>2023-02-16</x:v>
      </x:c>
      <x:c r="H302" t="str">
        <x:v>https://s26.q4cdn.com/410417801/files/doc_financials/2022/ar/B/Travelers-2022-Annual-Report-pdf.pdf</x:v>
      </x:c>
      <x:c r="I302" t="str">
        <x:v>https://www.sec.gov/Archives/edgar/data/86312/000008631223000011/0000086312-23-000011-index.htm</x:v>
      </x:c>
      <x:c r="J302" t="str">
        <x:v>294fc17bdf196969c710ce679ef9470ca87e3d059b50f898fe487e5c68dd107d</x:v>
      </x:c>
    </x:row>
    <x:row r="303">
      <x:c r="A303" t="n">
        <x:v>2022</x:v>
      </x:c>
      <x:c r="B303" t="str">
        <x:v>general_admin</x:v>
      </x:c>
      <x:c r="C303" s="1" t="n">
        <x:v>4810</x:v>
      </x:c>
      <x:c r="D303" t="str">
        <x:v>disclosed</x:v>
      </x:c>
      <x:c r="E303" t="str">
        <x:v>trv_ar_2022</x:v>
      </x:c>
      <x:c r="F303" t="n">
        <x:v>145</x:v>
      </x:c>
      <x:c r="G303" t="str">
        <x:v>2023-02-16</x:v>
      </x:c>
      <x:c r="H303" t="str">
        <x:v>https://s26.q4cdn.com/410417801/files/doc_financials/2022/ar/B/Travelers-2022-Annual-Report-pdf.pdf</x:v>
      </x:c>
      <x:c r="I303" t="str">
        <x:v>https://www.sec.gov/Archives/edgar/data/86312/000008631223000011/0000086312-23-000011-index.htm</x:v>
      </x:c>
      <x:c r="J303" t="str">
        <x:v>294fc17bdf196969c710ce679ef9470ca87e3d059b50f898fe487e5c68dd107d</x:v>
      </x:c>
    </x:row>
    <x:row r="304">
      <x:c r="A304" t="n">
        <x:v>2022</x:v>
      </x:c>
      <x:c r="B304" t="str">
        <x:v>goodwill</x:v>
      </x:c>
      <x:c r="C304" s="1" t="n">
        <x:v>3952</x:v>
      </x:c>
      <x:c r="D304" t="str">
        <x:v>disclosed</x:v>
      </x:c>
      <x:c r="E304" t="str">
        <x:v>trv_ar_2023</x:v>
      </x:c>
      <x:c r="F304" t="n">
        <x:v>147</x:v>
      </x:c>
      <x:c r="G304" t="str">
        <x:v>2024-02-15</x:v>
      </x:c>
      <x:c r="H304" t="str">
        <x:v>https://s26.q4cdn.com/410417801/files/doc_financials/2023/ar/Travelers-2023-Annual__Report.pdf</x:v>
      </x:c>
      <x:c r="I304" t="str">
        <x:v>https://www.sec.gov/Archives/edgar/data/86312/000008631224000012/0000086312-24-000012-index.htm</x:v>
      </x:c>
      <x:c r="J304" t="str">
        <x:v>53f73eab62a87649bddd9402c5e9b9fb7087192b4df27a788f7b1189250829e3</x:v>
      </x:c>
    </x:row>
    <x:row r="305">
      <x:c r="A305" t="n">
        <x:v>2022</x:v>
      </x:c>
      <x:c r="B305" t="str">
        <x:v>gross_earned</x:v>
      </x:c>
      <x:c r="C305" s="1" t="n">
        <x:v>36093</x:v>
      </x:c>
      <x:c r="D305" t="str">
        <x:v>derived</x:v>
      </x:c>
      <x:c r="E305" t="str">
        <x:v>trv_ar_2022</x:v>
      </x:c>
      <x:c r="F305" t="n">
        <x:v>179</x:v>
      </x:c>
      <x:c r="G305" t="str">
        <x:v>2023-02-16</x:v>
      </x:c>
      <x:c r="H305" t="str">
        <x:v>https://s26.q4cdn.com/410417801/files/doc_financials/2022/ar/B/Travelers-2022-Annual-Report-pdf.pdf</x:v>
      </x:c>
      <x:c r="I305" t="str">
        <x:v>https://www.sec.gov/Archives/edgar/data/86312/000008631223000011/0000086312-23-000011-index.htm</x:v>
      </x:c>
      <x:c r="J305" t="str">
        <x:v>294fc17bdf196969c710ce679ef9470ca87e3d059b50f898fe487e5c68dd107d</x:v>
      </x:c>
    </x:row>
    <x:row r="306">
      <x:c r="A306" t="n">
        <x:v>2022</x:v>
      </x:c>
      <x:c r="B306" t="str">
        <x:v>gross_reserves</x:v>
      </x:c>
      <x:c r="C306" s="1" t="n">
        <x:v>58643</x:v>
      </x:c>
      <x:c r="D306" t="str">
        <x:v>disclosed</x:v>
      </x:c>
      <x:c r="E306" t="str">
        <x:v>trv_ar_2023</x:v>
      </x:c>
      <x:c r="F306" t="n">
        <x:v>181</x:v>
      </x:c>
      <x:c r="G306" t="str">
        <x:v>2024-02-15</x:v>
      </x:c>
      <x:c r="H306" t="str">
        <x:v>https://s26.q4cdn.com/410417801/files/doc_financials/2023/ar/Travelers-2023-Annual__Report.pdf</x:v>
      </x:c>
      <x:c r="I306" t="str">
        <x:v>https://www.sec.gov/Archives/edgar/data/86312/000008631224000012/0000086312-24-000012-index.htm</x:v>
      </x:c>
      <x:c r="J306" t="str">
        <x:v>53f73eab62a87649bddd9402c5e9b9fb7087192b4df27a788f7b1189250829e3</x:v>
      </x:c>
    </x:row>
    <x:row r="307">
      <x:c r="A307" t="n">
        <x:v>2022</x:v>
      </x:c>
      <x:c r="B307" t="str">
        <x:v>gross_upr</x:v>
      </x:c>
      <x:c r="C307" s="1" t="n">
        <x:v>18240</x:v>
      </x:c>
      <x:c r="D307" t="str">
        <x:v>disclosed</x:v>
      </x:c>
      <x:c r="E307" t="str">
        <x:v>trv_ar_2022</x:v>
      </x:c>
      <x:c r="F307" t="n">
        <x:v>147</x:v>
      </x:c>
      <x:c r="G307" t="str">
        <x:v>2023-02-16</x:v>
      </x:c>
      <x:c r="H307" t="str">
        <x:v>https://s26.q4cdn.com/410417801/files/doc_financials/2022/ar/B/Travelers-2022-Annual-Report-pdf.pdf</x:v>
      </x:c>
      <x:c r="I307" t="str">
        <x:v>https://www.sec.gov/Archives/edgar/data/86312/000008631223000011/0000086312-23-000011-index.htm</x:v>
      </x:c>
      <x:c r="J307" t="str">
        <x:v>294fc17bdf196969c710ce679ef9470ca87e3d059b50f898fe487e5c68dd107d</x:v>
      </x:c>
    </x:row>
    <x:row r="308">
      <x:c r="A308" t="n">
        <x:v>2022</x:v>
      </x:c>
      <x:c r="B308" t="str">
        <x:v>gwp</x:v>
      </x:c>
      <x:c r="C308" s="1" t="n">
        <x:v>37876</x:v>
      </x:c>
      <x:c r="D308" t="str">
        <x:v>derived</x:v>
      </x:c>
      <x:c r="E308" t="str">
        <x:v>trv_ar_2022</x:v>
      </x:c>
      <x:c r="F308" t="n">
        <x:v>179</x:v>
      </x:c>
      <x:c r="G308" t="str">
        <x:v>2023-02-16</x:v>
      </x:c>
      <x:c r="H308" t="str">
        <x:v>https://s26.q4cdn.com/410417801/files/doc_financials/2022/ar/B/Travelers-2022-Annual-Report-pdf.pdf</x:v>
      </x:c>
      <x:c r="I308" t="str">
        <x:v>https://www.sec.gov/Archives/edgar/data/86312/000008631223000011/0000086312-23-000011-index.htm</x:v>
      </x:c>
      <x:c r="J308" t="str">
        <x:v>294fc17bdf196969c710ce679ef9470ca87e3d059b50f898fe487e5c68dd107d</x:v>
      </x:c>
    </x:row>
    <x:row r="309">
      <x:c r="A309" t="n">
        <x:v>2022</x:v>
      </x:c>
      <x:c r="B309" t="str">
        <x:v>intangible_assets</x:v>
      </x:c>
      <x:c r="C309" s="1" t="n">
        <x:v>287</x:v>
      </x:c>
      <x:c r="D309" t="str">
        <x:v>disclosed</x:v>
      </x:c>
      <x:c r="E309" t="str">
        <x:v>trv_ar_2023</x:v>
      </x:c>
      <x:c r="F309" t="n">
        <x:v>147</x:v>
      </x:c>
      <x:c r="G309" t="str">
        <x:v>2024-02-15</x:v>
      </x:c>
      <x:c r="H309" t="str">
        <x:v>https://s26.q4cdn.com/410417801/files/doc_financials/2023/ar/Travelers-2023-Annual__Report.pdf</x:v>
      </x:c>
      <x:c r="I309" t="str">
        <x:v>https://www.sec.gov/Archives/edgar/data/86312/000008631224000012/0000086312-24-000012-index.htm</x:v>
      </x:c>
      <x:c r="J309" t="str">
        <x:v>53f73eab62a87649bddd9402c5e9b9fb7087192b4df27a788f7b1189250829e3</x:v>
      </x:c>
    </x:row>
    <x:row r="310">
      <x:c r="A310" t="n">
        <x:v>2022</x:v>
      </x:c>
      <x:c r="B310" t="str">
        <x:v>interest_expense</x:v>
      </x:c>
      <x:c r="C310" s="1" t="n">
        <x:v>351</x:v>
      </x:c>
      <x:c r="D310" t="str">
        <x:v>disclosed</x:v>
      </x:c>
      <x:c r="E310" t="str">
        <x:v>trv_ar_2022</x:v>
      </x:c>
      <x:c r="F310" t="n">
        <x:v>145</x:v>
      </x:c>
      <x:c r="G310" t="str">
        <x:v>2023-02-16</x:v>
      </x:c>
      <x:c r="H310" t="str">
        <x:v>https://s26.q4cdn.com/410417801/files/doc_financials/2022/ar/B/Travelers-2022-Annual-Report-pdf.pdf</x:v>
      </x:c>
      <x:c r="I310" t="str">
        <x:v>https://www.sec.gov/Archives/edgar/data/86312/000008631223000011/0000086312-23-000011-index.htm</x:v>
      </x:c>
      <x:c r="J310" t="str">
        <x:v>294fc17bdf196969c710ce679ef9470ca87e3d059b50f898fe487e5c68dd107d</x:v>
      </x:c>
    </x:row>
    <x:row r="311">
      <x:c r="A311" t="n">
        <x:v>2022</x:v>
      </x:c>
      <x:c r="B311" t="str">
        <x:v>investment_income</x:v>
      </x:c>
      <x:c r="C311" s="1" t="n">
        <x:v>2562</x:v>
      </x:c>
      <x:c r="D311" t="str">
        <x:v>disclosed</x:v>
      </x:c>
      <x:c r="E311" t="str">
        <x:v>trv_ar_2022</x:v>
      </x:c>
      <x:c r="F311" t="n">
        <x:v>145</x:v>
      </x:c>
      <x:c r="G311" t="str">
        <x:v>2023-02-16</x:v>
      </x:c>
      <x:c r="H311" t="str">
        <x:v>https://s26.q4cdn.com/410417801/files/doc_financials/2022/ar/B/Travelers-2022-Annual-Report-pdf.pdf</x:v>
      </x:c>
      <x:c r="I311" t="str">
        <x:v>https://www.sec.gov/Archives/edgar/data/86312/000008631223000011/0000086312-23-000011-index.htm</x:v>
      </x:c>
      <x:c r="J311" t="str">
        <x:v>294fc17bdf196969c710ce679ef9470ca87e3d059b50f898fe487e5c68dd107d</x:v>
      </x:c>
    </x:row>
    <x:row r="312">
      <x:c r="A312" t="n">
        <x:v>2022</x:v>
      </x:c>
      <x:c r="B312" t="str">
        <x:v>nep</x:v>
      </x:c>
      <x:c r="C312" s="1" t="n">
        <x:v>33763</x:v>
      </x:c>
      <x:c r="D312" t="str">
        <x:v>disclosed</x:v>
      </x:c>
      <x:c r="E312" t="str">
        <x:v>trv_ar_2022</x:v>
      </x:c>
      <x:c r="F312" t="n">
        <x:v>179</x:v>
      </x:c>
      <x:c r="G312" t="str">
        <x:v>2023-02-16</x:v>
      </x:c>
      <x:c r="H312" t="str">
        <x:v>https://s26.q4cdn.com/410417801/files/doc_financials/2022/ar/B/Travelers-2022-Annual-Report-pdf.pdf</x:v>
      </x:c>
      <x:c r="I312" t="str">
        <x:v>https://www.sec.gov/Archives/edgar/data/86312/000008631223000011/0000086312-23-000011-index.htm</x:v>
      </x:c>
      <x:c r="J312" t="str">
        <x:v>294fc17bdf196969c710ce679ef9470ca87e3d059b50f898fe487e5c68dd107d</x:v>
      </x:c>
    </x:row>
    <x:row r="313">
      <x:c r="A313" t="n">
        <x:v>2022</x:v>
      </x:c>
      <x:c r="B313" t="str">
        <x:v>net_income</x:v>
      </x:c>
      <x:c r="C313" s="1" t="n">
        <x:v>2842</x:v>
      </x:c>
      <x:c r="D313" t="str">
        <x:v>disclosed</x:v>
      </x:c>
      <x:c r="E313" t="str">
        <x:v>trv_ar_2022</x:v>
      </x:c>
      <x:c r="F313" t="n">
        <x:v>145</x:v>
      </x:c>
      <x:c r="G313" t="str">
        <x:v>2023-02-16</x:v>
      </x:c>
      <x:c r="H313" t="str">
        <x:v>https://s26.q4cdn.com/410417801/files/doc_financials/2022/ar/B/Travelers-2022-Annual-Report-pdf.pdf</x:v>
      </x:c>
      <x:c r="I313" t="str">
        <x:v>https://www.sec.gov/Archives/edgar/data/86312/000008631223000011/0000086312-23-000011-index.htm</x:v>
      </x:c>
      <x:c r="J313" t="str">
        <x:v>294fc17bdf196969c710ce679ef9470ca87e3d059b50f898fe487e5c68dd107d</x:v>
      </x:c>
    </x:row>
    <x:row r="314">
      <x:c r="A314" t="n">
        <x:v>2022</x:v>
      </x:c>
      <x:c r="B314" t="str">
        <x:v>net_reserves</x:v>
      </x:c>
      <x:c r="C314" s="1" t="n">
        <x:v>50853</x:v>
      </x:c>
      <x:c r="D314" t="str">
        <x:v>disclosed</x:v>
      </x:c>
      <x:c r="E314" t="str">
        <x:v>trv_ar_2023</x:v>
      </x:c>
      <x:c r="F314" t="n">
        <x:v>181</x:v>
      </x:c>
      <x:c r="G314" t="str">
        <x:v>2024-02-15</x:v>
      </x:c>
      <x:c r="H314" t="str">
        <x:v>https://s26.q4cdn.com/410417801/files/doc_financials/2023/ar/Travelers-2023-Annual__Report.pdf</x:v>
      </x:c>
      <x:c r="I314" t="str">
        <x:v>https://www.sec.gov/Archives/edgar/data/86312/000008631224000012/0000086312-24-000012-index.htm</x:v>
      </x:c>
      <x:c r="J314" t="str">
        <x:v>53f73eab62a87649bddd9402c5e9b9fb7087192b4df27a788f7b1189250829e3</x:v>
      </x:c>
    </x:row>
    <x:row r="315">
      <x:c r="A315" t="n">
        <x:v>2022</x:v>
      </x:c>
      <x:c r="B315" t="str">
        <x:v>net_upr</x:v>
      </x:c>
      <x:c r="C315" s="1" t="n">
        <x:v>17216</x:v>
      </x:c>
      <x:c r="D315" t="str">
        <x:v>derived</x:v>
      </x:c>
      <x:c r="E315" t="str">
        <x:v>trv_ar_2022</x:v>
      </x:c>
      <x:c r="F315" t="n">
        <x:v>147</x:v>
      </x:c>
      <x:c r="G315" t="str">
        <x:v>2023-02-16</x:v>
      </x:c>
      <x:c r="H315" t="str">
        <x:v>https://s26.q4cdn.com/410417801/files/doc_financials/2022/ar/B/Travelers-2022-Annual-Report-pdf.pdf</x:v>
      </x:c>
      <x:c r="I315" t="str">
        <x:v>https://www.sec.gov/Archives/edgar/data/86312/000008631223000011/0000086312-23-000011-index.htm</x:v>
      </x:c>
      <x:c r="J315" t="str">
        <x:v>294fc17bdf196969c710ce679ef9470ca87e3d059b50f898fe487e5c68dd107d</x:v>
      </x:c>
    </x:row>
    <x:row r="316">
      <x:c r="A316" t="n">
        <x:v>2022</x:v>
      </x:c>
      <x:c r="B316" t="str">
        <x:v>nwp</x:v>
      </x:c>
      <x:c r="C316" s="1" t="n">
        <x:v>35414</x:v>
      </x:c>
      <x:c r="D316" t="str">
        <x:v>disclosed</x:v>
      </x:c>
      <x:c r="E316" t="str">
        <x:v>trv_ar_2022</x:v>
      </x:c>
      <x:c r="F316" t="n">
        <x:v>179</x:v>
      </x:c>
      <x:c r="G316" t="str">
        <x:v>2023-02-16</x:v>
      </x:c>
      <x:c r="H316" t="str">
        <x:v>https://s26.q4cdn.com/410417801/files/doc_financials/2022/ar/B/Travelers-2022-Annual-Report-pdf.pdf</x:v>
      </x:c>
      <x:c r="I316" t="str">
        <x:v>https://www.sec.gov/Archives/edgar/data/86312/000008631223000011/0000086312-23-000011-index.htm</x:v>
      </x:c>
      <x:c r="J316" t="str">
        <x:v>294fc17bdf196969c710ce679ef9470ca87e3d059b50f898fe487e5c68dd107d</x:v>
      </x:c>
    </x:row>
    <x:row r="317">
      <x:c r="A317" t="n">
        <x:v>2022</x:v>
      </x:c>
      <x:c r="B317" t="str">
        <x:v>opening_equity</x:v>
      </x:c>
      <x:c r="C317" s="1" t="n">
        <x:v>28887</x:v>
      </x:c>
      <x:c r="D317" t="str">
        <x:v>derived</x:v>
      </x:c>
      <x:c r="E317" t="str">
        <x:v>trv_ar_2022</x:v>
      </x:c>
      <x:c r="F317" t="n">
        <x:v>148</x:v>
      </x:c>
      <x:c r="G317" t="str">
        <x:v>2023-02-16</x:v>
      </x:c>
      <x:c r="H317" t="str">
        <x:v>https://s26.q4cdn.com/410417801/files/doc_financials/2022/ar/B/Travelers-2022-Annual-Report-pdf.pdf</x:v>
      </x:c>
      <x:c r="I317" t="str">
        <x:v>https://www.sec.gov/Archives/edgar/data/86312/000008631223000011/0000086312-23-000011-index.htm</x:v>
      </x:c>
      <x:c r="J317" t="str">
        <x:v>294fc17bdf196969c710ce679ef9470ca87e3d059b50f898fe487e5c68dd107d</x:v>
      </x:c>
    </x:row>
    <x:row r="318">
      <x:c r="A318" t="n">
        <x:v>2022</x:v>
      </x:c>
      <x:c r="B318" t="str">
        <x:v>other_assets</x:v>
      </x:c>
      <x:c r="C318" s="1" t="n">
        <x:v>3274</x:v>
      </x:c>
      <x:c r="D318" t="str">
        <x:v>disclosed</x:v>
      </x:c>
      <x:c r="E318" t="str">
        <x:v>trv_ar_2023</x:v>
      </x:c>
      <x:c r="F318" t="n">
        <x:v>147</x:v>
      </x:c>
      <x:c r="G318" t="str">
        <x:v>2024-02-15</x:v>
      </x:c>
      <x:c r="H318" t="str">
        <x:v>https://s26.q4cdn.com/410417801/files/doc_financials/2023/ar/Travelers-2023-Annual__Report.pdf</x:v>
      </x:c>
      <x:c r="I318" t="str">
        <x:v>https://www.sec.gov/Archives/edgar/data/86312/000008631224000012/0000086312-24-000012-index.htm</x:v>
      </x:c>
      <x:c r="J318" t="str">
        <x:v>53f73eab62a87649bddd9402c5e9b9fb7087192b4df27a788f7b1189250829e3</x:v>
      </x:c>
    </x:row>
    <x:row r="319">
      <x:c r="A319" t="n">
        <x:v>2022</x:v>
      </x:c>
      <x:c r="B319" t="str">
        <x:v>other_investment_purchases</x:v>
      </x:c>
      <x:c r="C319" s="1" t="n">
        <x:v>574</x:v>
      </x:c>
      <x:c r="D319" t="str">
        <x:v>disclosed</x:v>
      </x:c>
      <x:c r="E319" t="str">
        <x:v>trv_ar_2022</x:v>
      </x:c>
      <x:c r="F319" t="n">
        <x:v>149</x:v>
      </x:c>
      <x:c r="G319" t="str">
        <x:v>2023-02-16</x:v>
      </x:c>
      <x:c r="H319" t="str">
        <x:v>https://s26.q4cdn.com/410417801/files/doc_financials/2022/ar/B/Travelers-2022-Annual-Report-pdf.pdf</x:v>
      </x:c>
      <x:c r="I319" t="str">
        <x:v>https://www.sec.gov/Archives/edgar/data/86312/000008631223000011/0000086312-23-000011-index.htm</x:v>
      </x:c>
      <x:c r="J319" t="str">
        <x:v>294fc17bdf196969c710ce679ef9470ca87e3d059b50f898fe487e5c68dd107d</x:v>
      </x:c>
    </x:row>
    <x:row r="320">
      <x:c r="A320" t="n">
        <x:v>2022</x:v>
      </x:c>
      <x:c r="B320" t="str">
        <x:v>other_investment_sale_proceeds</x:v>
      </x:c>
      <x:c r="C320" s="1" t="n">
        <x:v>302</x:v>
      </x:c>
      <x:c r="D320" t="str">
        <x:v>disclosed</x:v>
      </x:c>
      <x:c r="E320" t="str">
        <x:v>trv_ar_2022</x:v>
      </x:c>
      <x:c r="F320" t="n">
        <x:v>149</x:v>
      </x:c>
      <x:c r="G320" t="str">
        <x:v>2023-02-16</x:v>
      </x:c>
      <x:c r="H320" t="str">
        <x:v>https://s26.q4cdn.com/410417801/files/doc_financials/2022/ar/B/Travelers-2022-Annual-Report-pdf.pdf</x:v>
      </x:c>
      <x:c r="I320" t="str">
        <x:v>https://www.sec.gov/Archives/edgar/data/86312/000008631223000011/0000086312-23-000011-index.htm</x:v>
      </x:c>
      <x:c r="J320" t="str">
        <x:v>294fc17bdf196969c710ce679ef9470ca87e3d059b50f898fe487e5c68dd107d</x:v>
      </x:c>
    </x:row>
    <x:row r="321">
      <x:c r="A321" t="n">
        <x:v>2022</x:v>
      </x:c>
      <x:c r="B321" t="str">
        <x:v>other_investments</x:v>
      </x:c>
      <x:c r="C321" s="1" t="n">
        <x:v>4065</x:v>
      </x:c>
      <x:c r="D321" t="str">
        <x:v>disclosed</x:v>
      </x:c>
      <x:c r="E321" t="str">
        <x:v>trv_ar_2022</x:v>
      </x:c>
      <x:c r="F321" t="n">
        <x:v>147</x:v>
      </x:c>
      <x:c r="G321" t="str">
        <x:v>2023-02-16</x:v>
      </x:c>
      <x:c r="H321" t="str">
        <x:v>https://s26.q4cdn.com/410417801/files/doc_financials/2022/ar/B/Travelers-2022-Annual-Report-pdf.pdf</x:v>
      </x:c>
      <x:c r="I321" t="str">
        <x:v>https://www.sec.gov/Archives/edgar/data/86312/000008631223000011/0000086312-23-000011-index.htm</x:v>
      </x:c>
      <x:c r="J321" t="str">
        <x:v>294fc17bdf196969c710ce679ef9470ca87e3d059b50f898fe487e5c68dd107d</x:v>
      </x:c>
    </x:row>
    <x:row r="322">
      <x:c r="A322" t="n">
        <x:v>2022</x:v>
      </x:c>
      <x:c r="B322" t="str">
        <x:v>other_liabilities</x:v>
      </x:c>
      <x:c r="C322" s="1" t="n">
        <x:v>5961</x:v>
      </x:c>
      <x:c r="D322" t="str">
        <x:v>disclosed</x:v>
      </x:c>
      <x:c r="E322" t="str">
        <x:v>trv_ar_2023</x:v>
      </x:c>
      <x:c r="F322" t="n">
        <x:v>147</x:v>
      </x:c>
      <x:c r="G322" t="str">
        <x:v>2024-02-15</x:v>
      </x:c>
      <x:c r="H322" t="str">
        <x:v>https://s26.q4cdn.com/410417801/files/doc_financials/2023/ar/Travelers-2023-Annual__Report.pdf</x:v>
      </x:c>
      <x:c r="I322" t="str">
        <x:v>https://www.sec.gov/Archives/edgar/data/86312/000008631224000012/0000086312-24-000012-index.htm</x:v>
      </x:c>
      <x:c r="J322" t="str">
        <x:v>53f73eab62a87649bddd9402c5e9b9fb7087192b4df27a788f7b1189250829e3</x:v>
      </x:c>
    </x:row>
    <x:row r="323">
      <x:c r="A323" t="n">
        <x:v>2022</x:v>
      </x:c>
      <x:c r="B323" t="str">
        <x:v>other_revenue</x:v>
      </x:c>
      <x:c r="C323" s="1" t="n">
        <x:v>351</x:v>
      </x:c>
      <x:c r="D323" t="str">
        <x:v>disclosed</x:v>
      </x:c>
      <x:c r="E323" t="str">
        <x:v>trv_ar_2022</x:v>
      </x:c>
      <x:c r="F323" t="n">
        <x:v>145</x:v>
      </x:c>
      <x:c r="G323" t="str">
        <x:v>2023-02-16</x:v>
      </x:c>
      <x:c r="H323" t="str">
        <x:v>https://s26.q4cdn.com/410417801/files/doc_financials/2022/ar/B/Travelers-2022-Annual-Report-pdf.pdf</x:v>
      </x:c>
      <x:c r="I323" t="str">
        <x:v>https://www.sec.gov/Archives/edgar/data/86312/000008631223000011/0000086312-23-000011-index.htm</x:v>
      </x:c>
      <x:c r="J323" t="str">
        <x:v>294fc17bdf196969c710ce679ef9470ca87e3d059b50f898fe487e5c68dd107d</x:v>
      </x:c>
    </x:row>
    <x:row r="324">
      <x:c r="A324" t="n">
        <x:v>2022</x:v>
      </x:c>
      <x:c r="B324" t="str">
        <x:v>paid_current</x:v>
      </x:c>
      <x:c r="C324" s="1" t="n">
        <x:v>9406</x:v>
      </x:c>
      <x:c r="D324" t="str">
        <x:v>disclosed</x:v>
      </x:c>
      <x:c r="E324" t="str">
        <x:v>trv_ar_2023</x:v>
      </x:c>
      <x:c r="F324" t="n">
        <x:v>181</x:v>
      </x:c>
      <x:c r="G324" t="str">
        <x:v>2024-02-15</x:v>
      </x:c>
      <x:c r="H324" t="str">
        <x:v>https://s26.q4cdn.com/410417801/files/doc_financials/2023/ar/Travelers-2023-Annual__Report.pdf</x:v>
      </x:c>
      <x:c r="I324" t="str">
        <x:v>https://www.sec.gov/Archives/edgar/data/86312/000008631224000012/0000086312-24-000012-index.htm</x:v>
      </x:c>
      <x:c r="J324" t="str">
        <x:v>53f73eab62a87649bddd9402c5e9b9fb7087192b4df27a788f7b1189250829e3</x:v>
      </x:c>
    </x:row>
    <x:row r="325">
      <x:c r="A325" t="n">
        <x:v>2022</x:v>
      </x:c>
      <x:c r="B325" t="str">
        <x:v>paid_prior</x:v>
      </x:c>
      <x:c r="C325" s="1" t="n">
        <x:v>10945</x:v>
      </x:c>
      <x:c r="D325" t="str">
        <x:v>disclosed</x:v>
      </x:c>
      <x:c r="E325" t="str">
        <x:v>trv_ar_2023</x:v>
      </x:c>
      <x:c r="F325" t="n">
        <x:v>181</x:v>
      </x:c>
      <x:c r="G325" t="str">
        <x:v>2024-02-15</x:v>
      </x:c>
      <x:c r="H325" t="str">
        <x:v>https://s26.q4cdn.com/410417801/files/doc_financials/2023/ar/Travelers-2023-Annual__Report.pdf</x:v>
      </x:c>
      <x:c r="I325" t="str">
        <x:v>https://www.sec.gov/Archives/edgar/data/86312/000008631224000012/0000086312-24-000012-index.htm</x:v>
      </x:c>
      <x:c r="J325" t="str">
        <x:v>53f73eab62a87649bddd9402c5e9b9fb7087192b4df27a788f7b1189250829e3</x:v>
      </x:c>
    </x:row>
    <x:row r="326">
      <x:c r="A326" t="n">
        <x:v>2022</x:v>
      </x:c>
      <x:c r="B326" t="str">
        <x:v>premium_receivables</x:v>
      </x:c>
      <x:c r="C326" s="1" t="n">
        <x:v>8922</x:v>
      </x:c>
      <x:c r="D326" t="str">
        <x:v>disclosed</x:v>
      </x:c>
      <x:c r="E326" t="str">
        <x:v>trv_ar_2022</x:v>
      </x:c>
      <x:c r="F326" t="n">
        <x:v>147</x:v>
      </x:c>
      <x:c r="G326" t="str">
        <x:v>2023-02-16</x:v>
      </x:c>
      <x:c r="H326" t="str">
        <x:v>https://s26.q4cdn.com/410417801/files/doc_financials/2022/ar/B/Travelers-2022-Annual-Report-pdf.pdf</x:v>
      </x:c>
      <x:c r="I326" t="str">
        <x:v>https://www.sec.gov/Archives/edgar/data/86312/000008631223000011/0000086312-23-000011-index.htm</x:v>
      </x:c>
      <x:c r="J326" t="str">
        <x:v>294fc17bdf196969c710ce679ef9470ca87e3d059b50f898fe487e5c68dd107d</x:v>
      </x:c>
    </x:row>
    <x:row r="327">
      <x:c r="A327" t="n">
        <x:v>2022</x:v>
      </x:c>
      <x:c r="B327" t="str">
        <x:v>pretax_income</x:v>
      </x:c>
      <x:c r="C327" s="1" t="n">
        <x:v>3354</x:v>
      </x:c>
      <x:c r="D327" t="str">
        <x:v>disclosed</x:v>
      </x:c>
      <x:c r="E327" t="str">
        <x:v>trv_ar_2022</x:v>
      </x:c>
      <x:c r="F327" t="n">
        <x:v>145</x:v>
      </x:c>
      <x:c r="G327" t="str">
        <x:v>2023-02-16</x:v>
      </x:c>
      <x:c r="H327" t="str">
        <x:v>https://s26.q4cdn.com/410417801/files/doc_financials/2022/ar/B/Travelers-2022-Annual-Report-pdf.pdf</x:v>
      </x:c>
      <x:c r="I327" t="str">
        <x:v>https://www.sec.gov/Archives/edgar/data/86312/000008631223000011/0000086312-23-000011-index.htm</x:v>
      </x:c>
      <x:c r="J327" t="str">
        <x:v>294fc17bdf196969c710ce679ef9470ca87e3d059b50f898fe487e5c68dd107d</x:v>
      </x:c>
    </x:row>
    <x:row r="328">
      <x:c r="A328" t="n">
        <x:v>2022</x:v>
      </x:c>
      <x:c r="B328" t="str">
        <x:v>real_estate_investments</x:v>
      </x:c>
      <x:c r="C328" s="1" t="n">
        <x:v>952</x:v>
      </x:c>
      <x:c r="D328" t="str">
        <x:v>disclosed</x:v>
      </x:c>
      <x:c r="E328" t="str">
        <x:v>trv_ar_2022</x:v>
      </x:c>
      <x:c r="F328" t="n">
        <x:v>147</x:v>
      </x:c>
      <x:c r="G328" t="str">
        <x:v>2023-02-16</x:v>
      </x:c>
      <x:c r="H328" t="str">
        <x:v>https://s26.q4cdn.com/410417801/files/doc_financials/2022/ar/B/Travelers-2022-Annual-Report-pdf.pdf</x:v>
      </x:c>
      <x:c r="I328" t="str">
        <x:v>https://www.sec.gov/Archives/edgar/data/86312/000008631223000011/0000086312-23-000011-index.htm</x:v>
      </x:c>
      <x:c r="J328" t="str">
        <x:v>294fc17bdf196969c710ce679ef9470ca87e3d059b50f898fe487e5c68dd107d</x:v>
      </x:c>
    </x:row>
    <x:row r="329">
      <x:c r="A329" t="n">
        <x:v>2022</x:v>
      </x:c>
      <x:c r="B329" t="str">
        <x:v>real_estate_purchases</x:v>
      </x:c>
      <x:c r="C329" s="1" t="n">
        <x:v>41</x:v>
      </x:c>
      <x:c r="D329" t="str">
        <x:v>disclosed</x:v>
      </x:c>
      <x:c r="E329" t="str">
        <x:v>trv_ar_2022</x:v>
      </x:c>
      <x:c r="F329" t="n">
        <x:v>149</x:v>
      </x:c>
      <x:c r="G329" t="str">
        <x:v>2023-02-16</x:v>
      </x:c>
      <x:c r="H329" t="str">
        <x:v>https://s26.q4cdn.com/410417801/files/doc_financials/2022/ar/B/Travelers-2022-Annual-Report-pdf.pdf</x:v>
      </x:c>
      <x:c r="I329" t="str">
        <x:v>https://www.sec.gov/Archives/edgar/data/86312/000008631223000011/0000086312-23-000011-index.htm</x:v>
      </x:c>
      <x:c r="J329" t="str">
        <x:v>294fc17bdf196969c710ce679ef9470ca87e3d059b50f898fe487e5c68dd107d</x:v>
      </x:c>
    </x:row>
    <x:row r="330">
      <x:c r="A330" t="n">
        <x:v>2022</x:v>
      </x:c>
      <x:c r="B330" t="str">
        <x:v>real_estate_sale_proceeds</x:v>
      </x:c>
      <x:c r="C330" s="1" t="n">
        <x:v>10</x:v>
      </x:c>
      <x:c r="D330" t="str">
        <x:v>disclosed</x:v>
      </x:c>
      <x:c r="E330" t="str">
        <x:v>trv_ar_2022</x:v>
      </x:c>
      <x:c r="F330" t="n">
        <x:v>149</x:v>
      </x:c>
      <x:c r="G330" t="str">
        <x:v>2023-02-16</x:v>
      </x:c>
      <x:c r="H330" t="str">
        <x:v>https://s26.q4cdn.com/410417801/files/doc_financials/2022/ar/B/Travelers-2022-Annual-Report-pdf.pdf</x:v>
      </x:c>
      <x:c r="I330" t="str">
        <x:v>https://www.sec.gov/Archives/edgar/data/86312/000008631223000011/0000086312-23-000011-index.htm</x:v>
      </x:c>
      <x:c r="J330" t="str">
        <x:v>294fc17bdf196969c710ce679ef9470ca87e3d059b50f898fe487e5c68dd107d</x:v>
      </x:c>
    </x:row>
    <x:row r="331">
      <x:c r="A331" t="n">
        <x:v>2022</x:v>
      </x:c>
      <x:c r="B331" t="str">
        <x:v>realized_gains</x:v>
      </x:c>
      <x:c r="C331" s="1" t="n">
        <x:v>-204</x:v>
      </x:c>
      <x:c r="D331" t="str">
        <x:v>disclosed</x:v>
      </x:c>
      <x:c r="E331" t="str">
        <x:v>trv_ar_2022</x:v>
      </x:c>
      <x:c r="F331" t="n">
        <x:v>145</x:v>
      </x:c>
      <x:c r="G331" t="str">
        <x:v>2023-02-16</x:v>
      </x:c>
      <x:c r="H331" t="str">
        <x:v>https://s26.q4cdn.com/410417801/files/doc_financials/2022/ar/B/Travelers-2022-Annual-Report-pdf.pdf</x:v>
      </x:c>
      <x:c r="I331" t="str">
        <x:v>https://www.sec.gov/Archives/edgar/data/86312/000008631223000011/0000086312-23-000011-index.htm</x:v>
      </x:c>
      <x:c r="J331" t="str">
        <x:v>294fc17bdf196969c710ce679ef9470ca87e3d059b50f898fe487e5c68dd107d</x:v>
      </x:c>
    </x:row>
    <x:row r="332">
      <x:c r="A332" t="n">
        <x:v>2022</x:v>
      </x:c>
      <x:c r="B332" t="str">
        <x:v>reinsurance_premium_payables</x:v>
      </x:c>
      <x:c r="C332" s="1" t="n">
        <x:v>419</x:v>
      </x:c>
      <x:c r="D332" t="str">
        <x:v>disclosed</x:v>
      </x:c>
      <x:c r="E332" t="str">
        <x:v>trv_ar_2023</x:v>
      </x:c>
      <x:c r="F332" t="n">
        <x:v>147</x:v>
      </x:c>
      <x:c r="G332" t="str">
        <x:v>2024-02-15</x:v>
      </x:c>
      <x:c r="H332" t="str">
        <x:v>https://s26.q4cdn.com/410417801/files/doc_financials/2023/ar/Travelers-2023-Annual__Report.pdf</x:v>
      </x:c>
      <x:c r="I332" t="str">
        <x:v>https://www.sec.gov/Archives/edgar/data/86312/000008631224000012/0000086312-24-000012-index.htm</x:v>
      </x:c>
      <x:c r="J332" t="str">
        <x:v>53f73eab62a87649bddd9402c5e9b9fb7087192b4df27a788f7b1189250829e3</x:v>
      </x:c>
    </x:row>
    <x:row r="333">
      <x:c r="A333" t="n">
        <x:v>2022</x:v>
      </x:c>
      <x:c r="B333" t="str">
        <x:v>reported_opening_net_after_adoption</x:v>
      </x:c>
      <x:c r="C333" s="1" t="n">
        <x:v>48688</x:v>
      </x:c>
      <x:c r="D333" t="str">
        <x:v>disclosed</x:v>
      </x:c>
      <x:c r="E333" t="str">
        <x:v>trv_ar_2023</x:v>
      </x:c>
      <x:c r="F333" t="n">
        <x:v>181</x:v>
      </x:c>
      <x:c r="G333" t="str">
        <x:v>2024-02-15</x:v>
      </x:c>
      <x:c r="H333" t="str">
        <x:v>https://s26.q4cdn.com/410417801/files/doc_financials/2023/ar/Travelers-2023-Annual__Report.pdf</x:v>
      </x:c>
      <x:c r="I333" t="str">
        <x:v>https://www.sec.gov/Archives/edgar/data/86312/000008631224000012/0000086312-24-000012-index.htm</x:v>
      </x:c>
      <x:c r="J333" t="str">
        <x:v>53f73eab62a87649bddd9402c5e9b9fb7087192b4df27a788f7b1189250829e3</x:v>
      </x:c>
    </x:row>
    <x:row r="334">
      <x:c r="A334" t="n">
        <x:v>2022</x:v>
      </x:c>
      <x:c r="B334" t="str">
        <x:v>reported_total_incurred</x:v>
      </x:c>
      <x:c r="C334" s="1" t="n">
        <x:v>22771</x:v>
      </x:c>
      <x:c r="D334" t="str">
        <x:v>disclosed</x:v>
      </x:c>
      <x:c r="E334" t="str">
        <x:v>trv_ar_2023</x:v>
      </x:c>
      <x:c r="F334" t="n">
        <x:v>181</x:v>
      </x:c>
      <x:c r="G334" t="str">
        <x:v>2024-02-15</x:v>
      </x:c>
      <x:c r="H334" t="str">
        <x:v>https://s26.q4cdn.com/410417801/files/doc_financials/2023/ar/Travelers-2023-Annual__Report.pdf</x:v>
      </x:c>
      <x:c r="I334" t="str">
        <x:v>https://www.sec.gov/Archives/edgar/data/86312/000008631224000012/0000086312-24-000012-index.htm</x:v>
      </x:c>
      <x:c r="J334" t="str">
        <x:v>53f73eab62a87649bddd9402c5e9b9fb7087192b4df27a788f7b1189250829e3</x:v>
      </x:c>
    </x:row>
    <x:row r="335">
      <x:c r="A335" t="n">
        <x:v>2022</x:v>
      </x:c>
      <x:c r="B335" t="str">
        <x:v>reported_total_paid</x:v>
      </x:c>
      <x:c r="C335" s="1" t="n">
        <x:v>20351</x:v>
      </x:c>
      <x:c r="D335" t="str">
        <x:v>disclosed</x:v>
      </x:c>
      <x:c r="E335" t="str">
        <x:v>trv_ar_2023</x:v>
      </x:c>
      <x:c r="F335" t="n">
        <x:v>181</x:v>
      </x:c>
      <x:c r="G335" t="str">
        <x:v>2024-02-15</x:v>
      </x:c>
      <x:c r="H335" t="str">
        <x:v>https://s26.q4cdn.com/410417801/files/doc_financials/2023/ar/Travelers-2023-Annual__Report.pdf</x:v>
      </x:c>
      <x:c r="I335" t="str">
        <x:v>https://www.sec.gov/Archives/edgar/data/86312/000008631224000012/0000086312-24-000012-index.htm</x:v>
      </x:c>
      <x:c r="J335" t="str">
        <x:v>53f73eab62a87649bddd9402c5e9b9fb7087192b4df27a788f7b1189250829e3</x:v>
      </x:c>
    </x:row>
    <x:row r="336">
      <x:c r="A336" t="n">
        <x:v>2022</x:v>
      </x:c>
      <x:c r="B336" t="str">
        <x:v>reserve_fx_other</x:v>
      </x:c>
      <x:c r="C336" s="1" t="n">
        <x:v>-255</x:v>
      </x:c>
      <x:c r="D336" t="str">
        <x:v>disclosed</x:v>
      </x:c>
      <x:c r="E336" t="str">
        <x:v>trv_ar_2023</x:v>
      </x:c>
      <x:c r="F336" t="n">
        <x:v>181</x:v>
      </x:c>
      <x:c r="G336" t="str">
        <x:v>2024-02-15</x:v>
      </x:c>
      <x:c r="H336" t="str">
        <x:v>https://s26.q4cdn.com/410417801/files/doc_financials/2023/ar/Travelers-2023-Annual__Report.pdf</x:v>
      </x:c>
      <x:c r="I336" t="str">
        <x:v>https://www.sec.gov/Archives/edgar/data/86312/000008631224000012/0000086312-24-000012-index.htm</x:v>
      </x:c>
      <x:c r="J336" t="str">
        <x:v>53f73eab62a87649bddd9402c5e9b9fb7087192b4df27a788f7b1189250829e3</x:v>
      </x:c>
    </x:row>
    <x:row r="337">
      <x:c r="A337" t="n">
        <x:v>2022</x:v>
      </x:c>
      <x:c r="B337" t="str">
        <x:v>reserve_prior_incurred</x:v>
      </x:c>
      <x:c r="C337" s="1" t="n">
        <x:v>-537</x:v>
      </x:c>
      <x:c r="D337" t="str">
        <x:v>disclosed</x:v>
      </x:c>
      <x:c r="E337" t="str">
        <x:v>trv_ar_2023</x:v>
      </x:c>
      <x:c r="F337" t="n">
        <x:v>181</x:v>
      </x:c>
      <x:c r="G337" t="str">
        <x:v>2024-02-15</x:v>
      </x:c>
      <x:c r="H337" t="str">
        <x:v>https://s26.q4cdn.com/410417801/files/doc_financials/2023/ar/Travelers-2023-Annual__Report.pdf</x:v>
      </x:c>
      <x:c r="I337" t="str">
        <x:v>https://www.sec.gov/Archives/edgar/data/86312/000008631224000012/0000086312-24-000012-index.htm</x:v>
      </x:c>
      <x:c r="J337" t="str">
        <x:v>53f73eab62a87649bddd9402c5e9b9fb7087192b4df27a788f7b1189250829e3</x:v>
      </x:c>
    </x:row>
    <x:row r="338">
      <x:c r="A338" t="n">
        <x:v>2022</x:v>
      </x:c>
      <x:c r="B338" t="str">
        <x:v>reserve_total_incurred</x:v>
      </x:c>
      <x:c r="C338" s="1" t="n">
        <x:v>22771</x:v>
      </x:c>
      <x:c r="D338" t="str">
        <x:v>derived</x:v>
      </x:c>
      <x:c r="E338" t="str">
        <x:v>trv_ar_2023</x:v>
      </x:c>
      <x:c r="F338" t="n">
        <x:v>181</x:v>
      </x:c>
      <x:c r="G338" t="str">
        <x:v>2024-02-15</x:v>
      </x:c>
      <x:c r="H338" t="str">
        <x:v>https://s26.q4cdn.com/410417801/files/doc_financials/2023/ar/Travelers-2023-Annual__Report.pdf</x:v>
      </x:c>
      <x:c r="I338" t="str">
        <x:v>https://www.sec.gov/Archives/edgar/data/86312/000008631224000012/0000086312-24-000012-index.htm</x:v>
      </x:c>
      <x:c r="J338" t="str">
        <x:v>53f73eab62a87649bddd9402c5e9b9fb7087192b4df27a788f7b1189250829e3</x:v>
      </x:c>
    </x:row>
    <x:row r="339">
      <x:c r="A339" t="n">
        <x:v>2022</x:v>
      </x:c>
      <x:c r="B339" t="str">
        <x:v>retained_earnings</x:v>
      </x:c>
      <x:c r="C339" s="1" t="n">
        <x:v>43516</x:v>
      </x:c>
      <x:c r="D339" t="str">
        <x:v>disclosed</x:v>
      </x:c>
      <x:c r="E339" t="str">
        <x:v>trv_ar_2023</x:v>
      </x:c>
      <x:c r="F339" t="n">
        <x:v>147</x:v>
      </x:c>
      <x:c r="G339" t="str">
        <x:v>2024-02-15</x:v>
      </x:c>
      <x:c r="H339" t="str">
        <x:v>https://s26.q4cdn.com/410417801/files/doc_financials/2023/ar/Travelers-2023-Annual__Report.pdf</x:v>
      </x:c>
      <x:c r="I339" t="str">
        <x:v>https://www.sec.gov/Archives/edgar/data/86312/000008631224000012/0000086312-24-000012-index.htm</x:v>
      </x:c>
      <x:c r="J339" t="str">
        <x:v>53f73eab62a87649bddd9402c5e9b9fb7087192b4df27a788f7b1189250829e3</x:v>
      </x:c>
    </x:row>
    <x:row r="340">
      <x:c r="A340" t="n">
        <x:v>2022</x:v>
      </x:c>
      <x:c r="B340" t="str">
        <x:v>retained_earnings_other</x:v>
      </x:c>
      <x:c r="C340" s="1" t="n">
        <x:v>-1</x:v>
      </x:c>
      <x:c r="D340" t="str">
        <x:v>disclosed</x:v>
      </x:c>
      <x:c r="E340" t="str">
        <x:v>trv_ar_2022</x:v>
      </x:c>
      <x:c r="F340" t="n">
        <x:v>148</x:v>
      </x:c>
      <x:c r="G340" t="str">
        <x:v>2023-02-16</x:v>
      </x:c>
      <x:c r="H340" t="str">
        <x:v>https://s26.q4cdn.com/410417801/files/doc_financials/2022/ar/B/Travelers-2022-Annual-Report-pdf.pdf</x:v>
      </x:c>
      <x:c r="I340" t="str">
        <x:v>https://www.sec.gov/Archives/edgar/data/86312/000008631223000011/0000086312-23-000011-index.htm</x:v>
      </x:c>
      <x:c r="J340" t="str">
        <x:v>294fc17bdf196969c710ce679ef9470ca87e3d059b50f898fe487e5c68dd107d</x:v>
      </x:c>
    </x:row>
    <x:row r="341">
      <x:c r="A341" t="n">
        <x:v>2022</x:v>
      </x:c>
      <x:c r="B341" t="str">
        <x:v>share_buybacks_cash</x:v>
      </x:c>
      <x:c r="C341" s="1" t="n">
        <x:v>2000</x:v>
      </x:c>
      <x:c r="D341" t="str">
        <x:v>disclosed</x:v>
      </x:c>
      <x:c r="E341" t="str">
        <x:v>trv_ar_2022</x:v>
      </x:c>
      <x:c r="F341" t="n">
        <x:v>149</x:v>
      </x:c>
      <x:c r="G341" t="str">
        <x:v>2023-02-16</x:v>
      </x:c>
      <x:c r="H341" t="str">
        <x:v>https://s26.q4cdn.com/410417801/files/doc_financials/2022/ar/B/Travelers-2022-Annual-Report-pdf.pdf</x:v>
      </x:c>
      <x:c r="I341" t="str">
        <x:v>https://www.sec.gov/Archives/edgar/data/86312/000008631223000011/0000086312-23-000011-index.htm</x:v>
      </x:c>
      <x:c r="J341" t="str">
        <x:v>294fc17bdf196969c710ce679ef9470ca87e3d059b50f898fe487e5c68dd107d</x:v>
      </x:c>
    </x:row>
    <x:row r="342">
      <x:c r="A342" t="n">
        <x:v>2022</x:v>
      </x:c>
      <x:c r="B342" t="str">
        <x:v>short_term_investments</x:v>
      </x:c>
      <x:c r="C342" s="1" t="n">
        <x:v>3470</x:v>
      </x:c>
      <x:c r="D342" t="str">
        <x:v>disclosed</x:v>
      </x:c>
      <x:c r="E342" t="str">
        <x:v>trv_ar_2022</x:v>
      </x:c>
      <x:c r="F342" t="n">
        <x:v>147</x:v>
      </x:c>
      <x:c r="G342" t="str">
        <x:v>2023-02-16</x:v>
      </x:c>
      <x:c r="H342" t="str">
        <x:v>https://s26.q4cdn.com/410417801/files/doc_financials/2022/ar/B/Travelers-2022-Annual-Report-pdf.pdf</x:v>
      </x:c>
      <x:c r="I342" t="str">
        <x:v>https://www.sec.gov/Archives/edgar/data/86312/000008631223000011/0000086312-23-000011-index.htm</x:v>
      </x:c>
      <x:c r="J342" t="str">
        <x:v>294fc17bdf196969c710ce679ef9470ca87e3d059b50f898fe487e5c68dd107d</x:v>
      </x:c>
    </x:row>
    <x:row r="343">
      <x:c r="A343" t="n">
        <x:v>2022</x:v>
      </x:c>
      <x:c r="B343" t="str">
        <x:v>short_term_net_sales</x:v>
      </x:c>
      <x:c r="C343" s="1" t="n">
        <x:v>355</x:v>
      </x:c>
      <x:c r="D343" t="str">
        <x:v>disclosed</x:v>
      </x:c>
      <x:c r="E343" t="str">
        <x:v>trv_ar_2022</x:v>
      </x:c>
      <x:c r="F343" t="n">
        <x:v>149</x:v>
      </x:c>
      <x:c r="G343" t="str">
        <x:v>2023-02-16</x:v>
      </x:c>
      <x:c r="H343" t="str">
        <x:v>https://s26.q4cdn.com/410417801/files/doc_financials/2022/ar/B/Travelers-2022-Annual-Report-pdf.pdf</x:v>
      </x:c>
      <x:c r="I343" t="str">
        <x:v>https://www.sec.gov/Archives/edgar/data/86312/000008631223000011/0000086312-23-000011-index.htm</x:v>
      </x:c>
      <x:c r="J343" t="str">
        <x:v>294fc17bdf196969c710ce679ef9470ca87e3d059b50f898fe487e5c68dd107d</x:v>
      </x:c>
    </x:row>
    <x:row r="344">
      <x:c r="A344" t="n">
        <x:v>2022</x:v>
      </x:c>
      <x:c r="B344" t="str">
        <x:v>stock_comp_and_other_equity</x:v>
      </x:c>
      <x:c r="C344" s="1" t="n">
        <x:v>184</x:v>
      </x:c>
      <x:c r="D344" t="str">
        <x:v>disclosed</x:v>
      </x:c>
      <x:c r="E344" t="str">
        <x:v>trv_ar_2022</x:v>
      </x:c>
      <x:c r="F344" t="n">
        <x:v>148</x:v>
      </x:c>
      <x:c r="G344" t="str">
        <x:v>2023-02-16</x:v>
      </x:c>
      <x:c r="H344" t="str">
        <x:v>https://s26.q4cdn.com/410417801/files/doc_financials/2022/ar/B/Travelers-2022-Annual-Report-pdf.pdf</x:v>
      </x:c>
      <x:c r="I344" t="str">
        <x:v>https://www.sec.gov/Archives/edgar/data/86312/000008631223000011/0000086312-23-000011-index.htm</x:v>
      </x:c>
      <x:c r="J344" t="str">
        <x:v>294fc17bdf196969c710ce679ef9470ca87e3d059b50f898fe487e5c68dd107d</x:v>
      </x:c>
    </x:row>
    <x:row r="345">
      <x:c r="A345" t="n">
        <x:v>2022</x:v>
      </x:c>
      <x:c r="B345" t="str">
        <x:v>tax_expense</x:v>
      </x:c>
      <x:c r="C345" s="1" t="n">
        <x:v>512</x:v>
      </x:c>
      <x:c r="D345" t="str">
        <x:v>disclosed</x:v>
      </x:c>
      <x:c r="E345" t="str">
        <x:v>trv_ar_2022</x:v>
      </x:c>
      <x:c r="F345" t="n">
        <x:v>145</x:v>
      </x:c>
      <x:c r="G345" t="str">
        <x:v>2023-02-16</x:v>
      </x:c>
      <x:c r="H345" t="str">
        <x:v>https://s26.q4cdn.com/410417801/files/doc_financials/2022/ar/B/Travelers-2022-Annual-Report-pdf.pdf</x:v>
      </x:c>
      <x:c r="I345" t="str">
        <x:v>https://www.sec.gov/Archives/edgar/data/86312/000008631223000011/0000086312-23-000011-index.htm</x:v>
      </x:c>
      <x:c r="J345" t="str">
        <x:v>294fc17bdf196969c710ce679ef9470ca87e3d059b50f898fe487e5c68dd107d</x:v>
      </x:c>
    </x:row>
    <x:row r="346">
      <x:c r="A346" t="n">
        <x:v>2022</x:v>
      </x:c>
      <x:c r="B346" t="str">
        <x:v>total_assets</x:v>
      </x:c>
      <x:c r="C346" s="1" t="n">
        <x:v>115717</x:v>
      </x:c>
      <x:c r="D346" t="str">
        <x:v>disclosed</x:v>
      </x:c>
      <x:c r="E346" t="str">
        <x:v>trv_ar_2022</x:v>
      </x:c>
      <x:c r="F346" t="n">
        <x:v>147</x:v>
      </x:c>
      <x:c r="G346" t="str">
        <x:v>2023-02-16</x:v>
      </x:c>
      <x:c r="H346" t="str">
        <x:v>https://s26.q4cdn.com/410417801/files/doc_financials/2022/ar/B/Travelers-2022-Annual-Report-pdf.pdf</x:v>
      </x:c>
      <x:c r="I346" t="str">
        <x:v>https://www.sec.gov/Archives/edgar/data/86312/000008631223000011/0000086312-23-000011-index.htm</x:v>
      </x:c>
      <x:c r="J346" t="str">
        <x:v>294fc17bdf196969c710ce679ef9470ca87e3d059b50f898fe487e5c68dd107d</x:v>
      </x:c>
    </x:row>
    <x:row r="347">
      <x:c r="A347" t="n">
        <x:v>2022</x:v>
      </x:c>
      <x:c r="B347" t="str">
        <x:v>total_expenses</x:v>
      </x:c>
      <x:c r="C347" s="1" t="n">
        <x:v>33530</x:v>
      </x:c>
      <x:c r="D347" t="str">
        <x:v>disclosed</x:v>
      </x:c>
      <x:c r="E347" t="str">
        <x:v>trv_ar_2022</x:v>
      </x:c>
      <x:c r="F347" t="n">
        <x:v>145</x:v>
      </x:c>
      <x:c r="G347" t="str">
        <x:v>2023-02-16</x:v>
      </x:c>
      <x:c r="H347" t="str">
        <x:v>https://s26.q4cdn.com/410417801/files/doc_financials/2022/ar/B/Travelers-2022-Annual-Report-pdf.pdf</x:v>
      </x:c>
      <x:c r="I347" t="str">
        <x:v>https://www.sec.gov/Archives/edgar/data/86312/000008631223000011/0000086312-23-000011-index.htm</x:v>
      </x:c>
      <x:c r="J347" t="str">
        <x:v>294fc17bdf196969c710ce679ef9470ca87e3d059b50f898fe487e5c68dd107d</x:v>
      </x:c>
    </x:row>
    <x:row r="348">
      <x:c r="A348" t="n">
        <x:v>2022</x:v>
      </x:c>
      <x:c r="B348" t="str">
        <x:v>total_investments</x:v>
      </x:c>
      <x:c r="C348" s="1" t="n">
        <x:v>80454</x:v>
      </x:c>
      <x:c r="D348" t="str">
        <x:v>disclosed</x:v>
      </x:c>
      <x:c r="E348" t="str">
        <x:v>trv_ar_2022</x:v>
      </x:c>
      <x:c r="F348" t="n">
        <x:v>147</x:v>
      </x:c>
      <x:c r="G348" t="str">
        <x:v>2023-02-16</x:v>
      </x:c>
      <x:c r="H348" t="str">
        <x:v>https://s26.q4cdn.com/410417801/files/doc_financials/2022/ar/B/Travelers-2022-Annual-Report-pdf.pdf</x:v>
      </x:c>
      <x:c r="I348" t="str">
        <x:v>https://www.sec.gov/Archives/edgar/data/86312/000008631223000011/0000086312-23-000011-index.htm</x:v>
      </x:c>
      <x:c r="J348" t="str">
        <x:v>294fc17bdf196969c710ce679ef9470ca87e3d059b50f898fe487e5c68dd107d</x:v>
      </x:c>
    </x:row>
    <x:row r="349">
      <x:c r="A349" t="n">
        <x:v>2022</x:v>
      </x:c>
      <x:c r="B349" t="str">
        <x:v>total_liabilities</x:v>
      </x:c>
      <x:c r="C349" s="1" t="n">
        <x:v>94157</x:v>
      </x:c>
      <x:c r="D349" t="str">
        <x:v>disclosed</x:v>
      </x:c>
      <x:c r="E349" t="str">
        <x:v>trv_ar_2022</x:v>
      </x:c>
      <x:c r="F349" t="n">
        <x:v>147</x:v>
      </x:c>
      <x:c r="G349" t="str">
        <x:v>2023-02-16</x:v>
      </x:c>
      <x:c r="H349" t="str">
        <x:v>https://s26.q4cdn.com/410417801/files/doc_financials/2022/ar/B/Travelers-2022-Annual-Report-pdf.pdf</x:v>
      </x:c>
      <x:c r="I349" t="str">
        <x:v>https://www.sec.gov/Archives/edgar/data/86312/000008631223000011/0000086312-23-000011-index.htm</x:v>
      </x:c>
      <x:c r="J349" t="str">
        <x:v>294fc17bdf196969c710ce679ef9470ca87e3d059b50f898fe487e5c68dd107d</x:v>
      </x:c>
    </x:row>
    <x:row r="350">
      <x:c r="A350" t="n">
        <x:v>2022</x:v>
      </x:c>
      <x:c r="B350" t="str">
        <x:v>total_oci</x:v>
      </x:c>
      <x:c r="C350" s="1" t="n">
        <x:v>-7638</x:v>
      </x:c>
      <x:c r="D350" t="str">
        <x:v>disclosed</x:v>
      </x:c>
      <x:c r="E350" t="str">
        <x:v>trv_ar_2022</x:v>
      </x:c>
      <x:c r="F350" t="n">
        <x:v>148</x:v>
      </x:c>
      <x:c r="G350" t="str">
        <x:v>2023-02-16</x:v>
      </x:c>
      <x:c r="H350" t="str">
        <x:v>https://s26.q4cdn.com/410417801/files/doc_financials/2022/ar/B/Travelers-2022-Annual-Report-pdf.pdf</x:v>
      </x:c>
      <x:c r="I350" t="str">
        <x:v>https://www.sec.gov/Archives/edgar/data/86312/000008631223000011/0000086312-23-000011-index.htm</x:v>
      </x:c>
      <x:c r="J350" t="str">
        <x:v>294fc17bdf196969c710ce679ef9470ca87e3d059b50f898fe487e5c68dd107d</x:v>
      </x:c>
    </x:row>
    <x:row r="351">
      <x:c r="A351" t="n">
        <x:v>2022</x:v>
      </x:c>
      <x:c r="B351" t="str">
        <x:v>total_recoverables</x:v>
      </x:c>
      <x:c r="C351" s="1" t="n">
        <x:v>8063</x:v>
      </x:c>
      <x:c r="D351" t="str">
        <x:v>disclosed</x:v>
      </x:c>
      <x:c r="E351" t="str">
        <x:v>trv_ar_2022</x:v>
      </x:c>
      <x:c r="F351" t="n">
        <x:v>147</x:v>
      </x:c>
      <x:c r="G351" t="str">
        <x:v>2023-02-16</x:v>
      </x:c>
      <x:c r="H351" t="str">
        <x:v>https://s26.q4cdn.com/410417801/files/doc_financials/2022/ar/B/Travelers-2022-Annual-Report-pdf.pdf</x:v>
      </x:c>
      <x:c r="I351" t="str">
        <x:v>https://www.sec.gov/Archives/edgar/data/86312/000008631223000011/0000086312-23-000011-index.htm</x:v>
      </x:c>
      <x:c r="J351" t="str">
        <x:v>294fc17bdf196969c710ce679ef9470ca87e3d059b50f898fe487e5c68dd107d</x:v>
      </x:c>
    </x:row>
    <x:row r="352">
      <x:c r="A352" t="n">
        <x:v>2022</x:v>
      </x:c>
      <x:c r="B352" t="str">
        <x:v>total_revenue</x:v>
      </x:c>
      <x:c r="C352" s="1" t="n">
        <x:v>36884</x:v>
      </x:c>
      <x:c r="D352" t="str">
        <x:v>disclosed</x:v>
      </x:c>
      <x:c r="E352" t="str">
        <x:v>trv_ar_2022</x:v>
      </x:c>
      <x:c r="F352" t="n">
        <x:v>145</x:v>
      </x:c>
      <x:c r="G352" t="str">
        <x:v>2023-02-16</x:v>
      </x:c>
      <x:c r="H352" t="str">
        <x:v>https://s26.q4cdn.com/410417801/files/doc_financials/2022/ar/B/Travelers-2022-Annual-Report-pdf.pdf</x:v>
      </x:c>
      <x:c r="I352" t="str">
        <x:v>https://www.sec.gov/Archives/edgar/data/86312/000008631223000011/0000086312-23-000011-index.htm</x:v>
      </x:c>
      <x:c r="J352" t="str">
        <x:v>294fc17bdf196969c710ce679ef9470ca87e3d059b50f898fe487e5c68dd107d</x:v>
      </x:c>
    </x:row>
    <x:row r="353">
      <x:c r="A353" t="n">
        <x:v>2022</x:v>
      </x:c>
      <x:c r="B353" t="str">
        <x:v>treasury_stock</x:v>
      </x:c>
      <x:c r="C353" s="1" t="n">
        <x:v>-40076</x:v>
      </x:c>
      <x:c r="D353" t="str">
        <x:v>disclosed</x:v>
      </x:c>
      <x:c r="E353" t="str">
        <x:v>trv_ar_2023</x:v>
      </x:c>
      <x:c r="F353" t="n">
        <x:v>147</x:v>
      </x:c>
      <x:c r="G353" t="str">
        <x:v>2024-02-15</x:v>
      </x:c>
      <x:c r="H353" t="str">
        <x:v>https://s26.q4cdn.com/410417801/files/doc_financials/2023/ar/Travelers-2023-Annual__Report.pdf</x:v>
      </x:c>
      <x:c r="I353" t="str">
        <x:v>https://www.sec.gov/Archives/edgar/data/86312/000008631224000012/0000086312-24-000012-index.htm</x:v>
      </x:c>
      <x:c r="J353" t="str">
        <x:v>53f73eab62a87649bddd9402c5e9b9fb7087192b4df27a788f7b1189250829e3</x:v>
      </x:c>
    </x:row>
    <x:row r="354">
      <x:c r="A354" t="n">
        <x:v>2022</x:v>
      </x:c>
      <x:c r="B354" t="str">
        <x:v>unpaid_recoverables</x:v>
      </x:c>
      <x:c r="C354" s="1" t="n">
        <x:v>7790</x:v>
      </x:c>
      <x:c r="D354" t="str">
        <x:v>disclosed</x:v>
      </x:c>
      <x:c r="E354" t="str">
        <x:v>trv_ar_2023</x:v>
      </x:c>
      <x:c r="F354" t="n">
        <x:v>181</x:v>
      </x:c>
      <x:c r="G354" t="str">
        <x:v>2024-02-15</x:v>
      </x:c>
      <x:c r="H354" t="str">
        <x:v>https://s26.q4cdn.com/410417801/files/doc_financials/2023/ar/Travelers-2023-Annual__Report.pdf</x:v>
      </x:c>
      <x:c r="I354" t="str">
        <x:v>https://www.sec.gov/Archives/edgar/data/86312/000008631224000012/0000086312-24-000012-index.htm</x:v>
      </x:c>
      <x:c r="J354" t="str">
        <x:v>53f73eab62a87649bddd9402c5e9b9fb7087192b4df27a788f7b1189250829e3</x:v>
      </x:c>
    </x:row>
    <x:row r="355">
      <x:c r="A355" t="n">
        <x:v>2023</x:v>
      </x:c>
      <x:c r="B355" t="str">
        <x:v>accrued_investment_income</x:v>
      </x:c>
      <x:c r="C355" s="1" t="n">
        <x:v>688</x:v>
      </x:c>
      <x:c r="D355" t="str">
        <x:v>disclosed</x:v>
      </x:c>
      <x:c r="E355" t="str">
        <x:v>trv_ar_2023</x:v>
      </x:c>
      <x:c r="F355" t="n">
        <x:v>147</x:v>
      </x:c>
      <x:c r="G355" t="str">
        <x:v>2024-02-15</x:v>
      </x:c>
      <x:c r="H355" t="str">
        <x:v>https://s26.q4cdn.com/410417801/files/doc_financials/2023/ar/Travelers-2023-Annual__Report.pdf</x:v>
      </x:c>
      <x:c r="I355" t="str">
        <x:v>https://www.sec.gov/Archives/edgar/data/86312/000008631224000012/0000086312-24-000012-index.htm</x:v>
      </x:c>
      <x:c r="J355" t="str">
        <x:v>53f73eab62a87649bddd9402c5e9b9fb7087192b4df27a788f7b1189250829e3</x:v>
      </x:c>
    </x:row>
    <x:row r="356">
      <x:c r="A356" t="n">
        <x:v>2023</x:v>
      </x:c>
      <x:c r="B356" t="str">
        <x:v>adoption_change</x:v>
      </x:c>
      <x:c r="C356" s="1" t="n">
        <x:v>0</x:v>
      </x:c>
      <x:c r="D356" t="str">
        <x:v>disclosed</x:v>
      </x:c>
      <x:c r="E356" t="str">
        <x:v>trv_ar_2023</x:v>
      </x:c>
      <x:c r="F356" t="n">
        <x:v>181</x:v>
      </x:c>
      <x:c r="G356" t="str">
        <x:v>2024-02-15</x:v>
      </x:c>
      <x:c r="H356" t="str">
        <x:v>https://s26.q4cdn.com/410417801/files/doc_financials/2023/ar/Travelers-2023-Annual__Report.pdf</x:v>
      </x:c>
      <x:c r="I356" t="str">
        <x:v>https://www.sec.gov/Archives/edgar/data/86312/000008631224000012/0000086312-24-000012-index.htm</x:v>
      </x:c>
      <x:c r="J356" t="str">
        <x:v>53f73eab62a87649bddd9402c5e9b9fb7087192b4df27a788f7b1189250829e3</x:v>
      </x:c>
    </x:row>
    <x:row r="357">
      <x:c r="A357" t="n">
        <x:v>2023</x:v>
      </x:c>
      <x:c r="B357" t="str">
        <x:v>adoption_equity</x:v>
      </x:c>
      <x:c r="C357" s="1" t="n">
        <x:v>0</x:v>
      </x:c>
      <x:c r="D357" t="str">
        <x:v>disclosed</x:v>
      </x:c>
      <x:c r="E357" t="str">
        <x:v>trv_ar_2025</x:v>
      </x:c>
      <x:c r="F357" t="n">
        <x:v>160</x:v>
      </x:c>
      <x:c r="G357" t="str">
        <x:v>2026-02-12</x:v>
      </x:c>
      <x:c r="H357" t="str">
        <x:v>https://s26.q4cdn.com/410417801/files/doc_financials/2025/AR/2026-Travelers-Annual-Report-Final.pdf</x:v>
      </x:c>
      <x:c r="I357" t="str">
        <x:v>https://www.sec.gov/Archives/edgar/data/86312/000008631226000065/0000086312-26-000065-index.htm</x:v>
      </x:c>
      <x:c r="J357" t="str">
        <x:v>94fc0b121687402eac9a025d2701d2fe93c0789143797961ad6faad1c6dcb5b6</x:v>
      </x:c>
    </x:row>
    <x:row r="358">
      <x:c r="A358" t="n">
        <x:v>2023</x:v>
      </x:c>
      <x:c r="B358" t="str">
        <x:v>aoci</x:v>
      </x:c>
      <x:c r="C358" s="1" t="n">
        <x:v>-4471</x:v>
      </x:c>
      <x:c r="D358" t="str">
        <x:v>disclosed</x:v>
      </x:c>
      <x:c r="E358" t="str">
        <x:v>trv_ar_2023</x:v>
      </x:c>
      <x:c r="F358" t="n">
        <x:v>147</x:v>
      </x:c>
      <x:c r="G358" t="str">
        <x:v>2024-02-15</x:v>
      </x:c>
      <x:c r="H358" t="str">
        <x:v>https://s26.q4cdn.com/410417801/files/doc_financials/2023/ar/Travelers-2023-Annual__Report.pdf</x:v>
      </x:c>
      <x:c r="I358" t="str">
        <x:v>https://www.sec.gov/Archives/edgar/data/86312/000008631224000012/0000086312-24-000012-index.htm</x:v>
      </x:c>
      <x:c r="J358" t="str">
        <x:v>53f73eab62a87649bddd9402c5e9b9fb7087192b4df27a788f7b1189250829e3</x:v>
      </x:c>
    </x:row>
    <x:row r="359">
      <x:c r="A359" t="n">
        <x:v>2023</x:v>
      </x:c>
      <x:c r="B359" t="str">
        <x:v>assumed_earned</x:v>
      </x:c>
      <x:c r="C359" s="1" t="n">
        <x:v>1614</x:v>
      </x:c>
      <x:c r="D359" t="str">
        <x:v>disclosed</x:v>
      </x:c>
      <x:c r="E359" t="str">
        <x:v>trv_ar_2025</x:v>
      </x:c>
      <x:c r="F359" t="n">
        <x:v>193</x:v>
      </x:c>
      <x:c r="G359" t="str">
        <x:v>2026-02-12</x:v>
      </x:c>
      <x:c r="H359" t="str">
        <x:v>https://s26.q4cdn.com/410417801/files/doc_financials/2025/AR/2026-Travelers-Annual-Report-Final.pdf</x:v>
      </x:c>
      <x:c r="I359" t="str">
        <x:v>https://www.sec.gov/Archives/edgar/data/86312/000008631226000065/0000086312-26-000065-index.htm</x:v>
      </x:c>
      <x:c r="J359" t="str">
        <x:v>94fc0b121687402eac9a025d2701d2fe93c0789143797961ad6faad1c6dcb5b6</x:v>
      </x:c>
    </x:row>
    <x:row r="360">
      <x:c r="A360" t="n">
        <x:v>2023</x:v>
      </x:c>
      <x:c r="B360" t="str">
        <x:v>assumed_written</x:v>
      </x:c>
      <x:c r="C360" s="1" t="n">
        <x:v>1989</x:v>
      </x:c>
      <x:c r="D360" t="str">
        <x:v>disclosed</x:v>
      </x:c>
      <x:c r="E360" t="str">
        <x:v>trv_ar_2025</x:v>
      </x:c>
      <x:c r="F360" t="n">
        <x:v>193</x:v>
      </x:c>
      <x:c r="G360" t="str">
        <x:v>2026-02-12</x:v>
      </x:c>
      <x:c r="H360" t="str">
        <x:v>https://s26.q4cdn.com/410417801/files/doc_financials/2025/AR/2026-Travelers-Annual-Report-Final.pdf</x:v>
      </x:c>
      <x:c r="I360" t="str">
        <x:v>https://www.sec.gov/Archives/edgar/data/86312/000008631226000065/0000086312-26-000065-index.htm</x:v>
      </x:c>
      <x:c r="J360" t="str">
        <x:v>94fc0b121687402eac9a025d2701d2fe93c0789143797961ad6faad1c6dcb5b6</x:v>
      </x:c>
    </x:row>
    <x:row r="361">
      <x:c r="A361" t="n">
        <x:v>2023</x:v>
      </x:c>
      <x:c r="B361" t="str">
        <x:v>balance_sheet_claim_reserves</x:v>
      </x:c>
      <x:c r="C361" s="1" t="n">
        <x:v>61627</x:v>
      </x:c>
      <x:c r="D361" t="str">
        <x:v>disclosed</x:v>
      </x:c>
      <x:c r="E361" t="str">
        <x:v>trv_ar_2023</x:v>
      </x:c>
      <x:c r="F361" t="n">
        <x:v>147</x:v>
      </x:c>
      <x:c r="G361" t="str">
        <x:v>2024-02-15</x:v>
      </x:c>
      <x:c r="H361" t="str">
        <x:v>https://s26.q4cdn.com/410417801/files/doc_financials/2023/ar/Travelers-2023-Annual__Report.pdf</x:v>
      </x:c>
      <x:c r="I361" t="str">
        <x:v>https://www.sec.gov/Archives/edgar/data/86312/000008631224000012/0000086312-24-000012-index.htm</x:v>
      </x:c>
      <x:c r="J361" t="str">
        <x:v>53f73eab62a87649bddd9402c5e9b9fb7087192b4df27a788f7b1189250829e3</x:v>
      </x:c>
    </x:row>
    <x:row r="362">
      <x:c r="A362" t="n">
        <x:v>2023</x:v>
      </x:c>
      <x:c r="B362" t="str">
        <x:v>cash</x:v>
      </x:c>
      <x:c r="C362" s="1" t="n">
        <x:v>650</x:v>
      </x:c>
      <x:c r="D362" t="str">
        <x:v>disclosed</x:v>
      </x:c>
      <x:c r="E362" t="str">
        <x:v>trv_ar_2023</x:v>
      </x:c>
      <x:c r="F362" t="n">
        <x:v>147</x:v>
      </x:c>
      <x:c r="G362" t="str">
        <x:v>2024-02-15</x:v>
      </x:c>
      <x:c r="H362" t="str">
        <x:v>https://s26.q4cdn.com/410417801/files/doc_financials/2023/ar/Travelers-2023-Annual__Report.pdf</x:v>
      </x:c>
      <x:c r="I362" t="str">
        <x:v>https://www.sec.gov/Archives/edgar/data/86312/000008631224000012/0000086312-24-000012-index.htm</x:v>
      </x:c>
      <x:c r="J362" t="str">
        <x:v>53f73eab62a87649bddd9402c5e9b9fb7087192b4df27a788f7b1189250829e3</x:v>
      </x:c>
    </x:row>
    <x:row r="363">
      <x:c r="A363" t="n">
        <x:v>2023</x:v>
      </x:c>
      <x:c r="B363" t="str">
        <x:v>cash_change_before_reclassification</x:v>
      </x:c>
      <x:c r="C363" s="1" t="n">
        <x:v>-149</x:v>
      </x:c>
      <x:c r="D363" t="str">
        <x:v>disclosed</x:v>
      </x:c>
      <x:c r="E363" t="str">
        <x:v>trv_ar_2025</x:v>
      </x:c>
      <x:c r="F363" t="n">
        <x:v>161</x:v>
      </x:c>
      <x:c r="G363" t="str">
        <x:v>2026-02-12</x:v>
      </x:c>
      <x:c r="H363" t="str">
        <x:v>https://s26.q4cdn.com/410417801/files/doc_financials/2025/AR/2026-Travelers-Annual-Report-Final.pdf</x:v>
      </x:c>
      <x:c r="I363" t="str">
        <x:v>https://www.sec.gov/Archives/edgar/data/86312/000008631226000065/0000086312-26-000065-index.htm</x:v>
      </x:c>
      <x:c r="J363" t="str">
        <x:v>94fc0b121687402eac9a025d2701d2fe93c0789143797961ad6faad1c6dcb5b6</x:v>
      </x:c>
    </x:row>
    <x:row r="364">
      <x:c r="A364" t="n">
        <x:v>2023</x:v>
      </x:c>
      <x:c r="B364" t="str">
        <x:v>cash_flow_closing</x:v>
      </x:c>
      <x:c r="C364" s="1" t="n">
        <x:v>650</x:v>
      </x:c>
      <x:c r="D364" t="str">
        <x:v>disclosed</x:v>
      </x:c>
      <x:c r="E364" t="str">
        <x:v>trv_ar_2025</x:v>
      </x:c>
      <x:c r="F364" t="n">
        <x:v>161</x:v>
      </x:c>
      <x:c r="G364" t="str">
        <x:v>2026-02-12</x:v>
      </x:c>
      <x:c r="H364" t="str">
        <x:v>https://s26.q4cdn.com/410417801/files/doc_financials/2025/AR/2026-Travelers-Annual-Report-Final.pdf</x:v>
      </x:c>
      <x:c r="I364" t="str">
        <x:v>https://www.sec.gov/Archives/edgar/data/86312/000008631226000065/0000086312-26-000065-index.htm</x:v>
      </x:c>
      <x:c r="J364" t="str">
        <x:v>94fc0b121687402eac9a025d2701d2fe93c0789143797961ad6faad1c6dcb5b6</x:v>
      </x:c>
    </x:row>
    <x:row r="365">
      <x:c r="A365" t="n">
        <x:v>2023</x:v>
      </x:c>
      <x:c r="B365" t="str">
        <x:v>cash_flow_net_income</x:v>
      </x:c>
      <x:c r="C365" s="1" t="n">
        <x:v>2991</x:v>
      </x:c>
      <x:c r="D365" t="str">
        <x:v>disclosed</x:v>
      </x:c>
      <x:c r="E365" t="str">
        <x:v>trv_ar_2025</x:v>
      </x:c>
      <x:c r="F365" t="n">
        <x:v>161</x:v>
      </x:c>
      <x:c r="G365" t="str">
        <x:v>2026-02-12</x:v>
      </x:c>
      <x:c r="H365" t="str">
        <x:v>https://s26.q4cdn.com/410417801/files/doc_financials/2025/AR/2026-Travelers-Annual-Report-Final.pdf</x:v>
      </x:c>
      <x:c r="I365" t="str">
        <x:v>https://www.sec.gov/Archives/edgar/data/86312/000008631226000065/0000086312-26-000065-index.htm</x:v>
      </x:c>
      <x:c r="J365" t="str">
        <x:v>94fc0b121687402eac9a025d2701d2fe93c0789143797961ad6faad1c6dcb5b6</x:v>
      </x:c>
    </x:row>
    <x:row r="366">
      <x:c r="A366" t="n">
        <x:v>2023</x:v>
      </x:c>
      <x:c r="B366" t="str">
        <x:v>cash_flow_opening</x:v>
      </x:c>
      <x:c r="C366" s="1" t="n">
        <x:v>799</x:v>
      </x:c>
      <x:c r="D366" t="str">
        <x:v>disclosed</x:v>
      </x:c>
      <x:c r="E366" t="str">
        <x:v>trv_ar_2025</x:v>
      </x:c>
      <x:c r="F366" t="n">
        <x:v>161</x:v>
      </x:c>
      <x:c r="G366" t="str">
        <x:v>2026-02-12</x:v>
      </x:c>
      <x:c r="H366" t="str">
        <x:v>https://s26.q4cdn.com/410417801/files/doc_financials/2025/AR/2026-Travelers-Annual-Report-Final.pdf</x:v>
      </x:c>
      <x:c r="I366" t="str">
        <x:v>https://www.sec.gov/Archives/edgar/data/86312/000008631226000065/0000086312-26-000065-index.htm</x:v>
      </x:c>
      <x:c r="J366" t="str">
        <x:v>94fc0b121687402eac9a025d2701d2fe93c0789143797961ad6faad1c6dcb5b6</x:v>
      </x:c>
    </x:row>
    <x:row r="367">
      <x:c r="A367" t="n">
        <x:v>2023</x:v>
      </x:c>
      <x:c r="B367" t="str">
        <x:v>cash_fx</x:v>
      </x:c>
      <x:c r="C367" s="1" t="n">
        <x:v>12</x:v>
      </x:c>
      <x:c r="D367" t="str">
        <x:v>disclosed</x:v>
      </x:c>
      <x:c r="E367" t="str">
        <x:v>trv_ar_2025</x:v>
      </x:c>
      <x:c r="F367" t="n">
        <x:v>161</x:v>
      </x:c>
      <x:c r="G367" t="str">
        <x:v>2026-02-12</x:v>
      </x:c>
      <x:c r="H367" t="str">
        <x:v>https://s26.q4cdn.com/410417801/files/doc_financials/2025/AR/2026-Travelers-Annual-Report-Final.pdf</x:v>
      </x:c>
      <x:c r="I367" t="str">
        <x:v>https://www.sec.gov/Archives/edgar/data/86312/000008631226000065/0000086312-26-000065-index.htm</x:v>
      </x:c>
      <x:c r="J367" t="str">
        <x:v>94fc0b121687402eac9a025d2701d2fe93c0789143797961ad6faad1c6dcb5b6</x:v>
      </x:c>
    </x:row>
    <x:row r="368">
      <x:c r="A368" t="n">
        <x:v>2023</x:v>
      </x:c>
      <x:c r="B368" t="str">
        <x:v>cash_tax</x:v>
      </x:c>
      <x:c r="C368" s="1" t="n">
        <x:v>201</x:v>
      </x:c>
      <x:c r="D368" t="str">
        <x:v>disclosed</x:v>
      </x:c>
      <x:c r="E368" t="str">
        <x:v>trv_ar_2025</x:v>
      </x:c>
      <x:c r="F368" t="n">
        <x:v>161</x:v>
      </x:c>
      <x:c r="G368" t="str">
        <x:v>2026-02-12</x:v>
      </x:c>
      <x:c r="H368" t="str">
        <x:v>https://s26.q4cdn.com/410417801/files/doc_financials/2025/AR/2026-Travelers-Annual-Report-Final.pdf</x:v>
      </x:c>
      <x:c r="I368" t="str">
        <x:v>https://www.sec.gov/Archives/edgar/data/86312/000008631226000065/0000086312-26-000065-index.htm</x:v>
      </x:c>
      <x:c r="J368" t="str">
        <x:v>94fc0b121687402eac9a025d2701d2fe93c0789143797961ad6faad1c6dcb5b6</x:v>
      </x:c>
    </x:row>
    <x:row r="369">
      <x:c r="A369" t="n">
        <x:v>2023</x:v>
      </x:c>
      <x:c r="B369" t="str">
        <x:v>ceded_earned</x:v>
      </x:c>
      <x:c r="C369" s="1" t="n">
        <x:v>2649</x:v>
      </x:c>
      <x:c r="D369" t="str">
        <x:v>disclosed</x:v>
      </x:c>
      <x:c r="E369" t="str">
        <x:v>trv_ar_2025</x:v>
      </x:c>
      <x:c r="F369" t="n">
        <x:v>193</x:v>
      </x:c>
      <x:c r="G369" t="str">
        <x:v>2026-02-12</x:v>
      </x:c>
      <x:c r="H369" t="str">
        <x:v>https://s26.q4cdn.com/410417801/files/doc_financials/2025/AR/2026-Travelers-Annual-Report-Final.pdf</x:v>
      </x:c>
      <x:c r="I369" t="str">
        <x:v>https://www.sec.gov/Archives/edgar/data/86312/000008631226000065/0000086312-26-000065-index.htm</x:v>
      </x:c>
      <x:c r="J369" t="str">
        <x:v>94fc0b121687402eac9a025d2701d2fe93c0789143797961ad6faad1c6dcb5b6</x:v>
      </x:c>
    </x:row>
    <x:row r="370">
      <x:c r="A370" t="n">
        <x:v>2023</x:v>
      </x:c>
      <x:c r="B370" t="str">
        <x:v>ceded_upr</x:v>
      </x:c>
      <x:c r="C370" s="1" t="n">
        <x:v>1150</x:v>
      </x:c>
      <x:c r="D370" t="str">
        <x:v>disclosed</x:v>
      </x:c>
      <x:c r="E370" t="str">
        <x:v>trv_ar_2023</x:v>
      </x:c>
      <x:c r="F370" t="n">
        <x:v>147</x:v>
      </x:c>
      <x:c r="G370" t="str">
        <x:v>2024-02-15</x:v>
      </x:c>
      <x:c r="H370" t="str">
        <x:v>https://s26.q4cdn.com/410417801/files/doc_financials/2023/ar/Travelers-2023-Annual__Report.pdf</x:v>
      </x:c>
      <x:c r="I370" t="str">
        <x:v>https://www.sec.gov/Archives/edgar/data/86312/000008631224000012/0000086312-24-000012-index.htm</x:v>
      </x:c>
      <x:c r="J370" t="str">
        <x:v>53f73eab62a87649bddd9402c5e9b9fb7087192b4df27a788f7b1189250829e3</x:v>
      </x:c>
    </x:row>
    <x:row r="371">
      <x:c r="A371" t="n">
        <x:v>2023</x:v>
      </x:c>
      <x:c r="B371" t="str">
        <x:v>ceded_written</x:v>
      </x:c>
      <x:c r="C371" s="1" t="n">
        <x:v>2771</x:v>
      </x:c>
      <x:c r="D371" t="str">
        <x:v>disclosed</x:v>
      </x:c>
      <x:c r="E371" t="str">
        <x:v>trv_ar_2025</x:v>
      </x:c>
      <x:c r="F371" t="n">
        <x:v>193</x:v>
      </x:c>
      <x:c r="G371" t="str">
        <x:v>2026-02-12</x:v>
      </x:c>
      <x:c r="H371" t="str">
        <x:v>https://s26.q4cdn.com/410417801/files/doc_financials/2025/AR/2026-Travelers-Annual-Report-Final.pdf</x:v>
      </x:c>
      <x:c r="I371" t="str">
        <x:v>https://www.sec.gov/Archives/edgar/data/86312/000008631226000065/0000086312-26-000065-index.htm</x:v>
      </x:c>
      <x:c r="J371" t="str">
        <x:v>94fc0b121687402eac9a025d2701d2fe93c0789143797961ad6faad1c6dcb5b6</x:v>
      </x:c>
    </x:row>
    <x:row r="372">
      <x:c r="A372" t="n">
        <x:v>2023</x:v>
      </x:c>
      <x:c r="B372" t="str">
        <x:v>cff</x:v>
      </x:c>
      <x:c r="C372" s="1" t="n">
        <x:v>-1051</x:v>
      </x:c>
      <x:c r="D372" t="str">
        <x:v>disclosed</x:v>
      </x:c>
      <x:c r="E372" t="str">
        <x:v>trv_ar_2025</x:v>
      </x:c>
      <x:c r="F372" t="n">
        <x:v>161</x:v>
      </x:c>
      <x:c r="G372" t="str">
        <x:v>2026-02-12</x:v>
      </x:c>
      <x:c r="H372" t="str">
        <x:v>https://s26.q4cdn.com/410417801/files/doc_financials/2025/AR/2026-Travelers-Annual-Report-Final.pdf</x:v>
      </x:c>
      <x:c r="I372" t="str">
        <x:v>https://www.sec.gov/Archives/edgar/data/86312/000008631226000065/0000086312-26-000065-index.htm</x:v>
      </x:c>
      <x:c r="J372" t="str">
        <x:v>94fc0b121687402eac9a025d2701d2fe93c0789143797961ad6faad1c6dcb5b6</x:v>
      </x:c>
    </x:row>
    <x:row r="373">
      <x:c r="A373" t="n">
        <x:v>2023</x:v>
      </x:c>
      <x:c r="B373" t="str">
        <x:v>cfi</x:v>
      </x:c>
      <x:c r="C373" s="1" t="n">
        <x:v>-6821</x:v>
      </x:c>
      <x:c r="D373" t="str">
        <x:v>disclosed</x:v>
      </x:c>
      <x:c r="E373" t="str">
        <x:v>trv_ar_2025</x:v>
      </x:c>
      <x:c r="F373" t="n">
        <x:v>161</x:v>
      </x:c>
      <x:c r="G373" t="str">
        <x:v>2026-02-12</x:v>
      </x:c>
      <x:c r="H373" t="str">
        <x:v>https://s26.q4cdn.com/410417801/files/doc_financials/2025/AR/2026-Travelers-Annual-Report-Final.pdf</x:v>
      </x:c>
      <x:c r="I373" t="str">
        <x:v>https://www.sec.gov/Archives/edgar/data/86312/000008631226000065/0000086312-26-000065-index.htm</x:v>
      </x:c>
      <x:c r="J373" t="str">
        <x:v>94fc0b121687402eac9a025d2701d2fe93c0789143797961ad6faad1c6dcb5b6</x:v>
      </x:c>
    </x:row>
    <x:row r="374">
      <x:c r="A374" t="n">
        <x:v>2023</x:v>
      </x:c>
      <x:c r="B374" t="str">
        <x:v>cfo</x:v>
      </x:c>
      <x:c r="C374" s="1" t="n">
        <x:v>7711</x:v>
      </x:c>
      <x:c r="D374" t="str">
        <x:v>disclosed</x:v>
      </x:c>
      <x:c r="E374" t="str">
        <x:v>trv_ar_2025</x:v>
      </x:c>
      <x:c r="F374" t="n">
        <x:v>161</x:v>
      </x:c>
      <x:c r="G374" t="str">
        <x:v>2026-02-12</x:v>
      </x:c>
      <x:c r="H374" t="str">
        <x:v>https://s26.q4cdn.com/410417801/files/doc_financials/2025/AR/2026-Travelers-Annual-Report-Final.pdf</x:v>
      </x:c>
      <x:c r="I374" t="str">
        <x:v>https://www.sec.gov/Archives/edgar/data/86312/000008631226000065/0000086312-26-000065-index.htm</x:v>
      </x:c>
      <x:c r="J374" t="str">
        <x:v>94fc0b121687402eac9a025d2701d2fe93c0789143797961ad6faad1c6dcb5b6</x:v>
      </x:c>
    </x:row>
    <x:row r="375">
      <x:c r="A375" t="n">
        <x:v>2023</x:v>
      </x:c>
      <x:c r="B375" t="str">
        <x:v>claims</x:v>
      </x:c>
      <x:c r="C375" s="1" t="n">
        <x:v>26215</x:v>
      </x:c>
      <x:c r="D375" t="str">
        <x:v>disclosed</x:v>
      </x:c>
      <x:c r="E375" t="str">
        <x:v>trv_ar_2025</x:v>
      </x:c>
      <x:c r="F375" t="n">
        <x:v>157</x:v>
      </x:c>
      <x:c r="G375" t="str">
        <x:v>2026-02-12</x:v>
      </x:c>
      <x:c r="H375" t="str">
        <x:v>https://s26.q4cdn.com/410417801/files/doc_financials/2025/AR/2026-Travelers-Annual-Report-Final.pdf</x:v>
      </x:c>
      <x:c r="I375" t="str">
        <x:v>https://www.sec.gov/Archives/edgar/data/86312/000008631226000065/0000086312-26-000065-index.htm</x:v>
      </x:c>
      <x:c r="J375" t="str">
        <x:v>94fc0b121687402eac9a025d2701d2fe93c0789143797961ad6faad1c6dcb5b6</x:v>
      </x:c>
    </x:row>
    <x:row r="376">
      <x:c r="A376" t="n">
        <x:v>2023</x:v>
      </x:c>
      <x:c r="B376" t="str">
        <x:v>closing_aoci</x:v>
      </x:c>
      <x:c r="C376" s="1" t="n">
        <x:v>-4471</x:v>
      </x:c>
      <x:c r="D376" t="str">
        <x:v>disclosed</x:v>
      </x:c>
      <x:c r="E376" t="str">
        <x:v>trv_ar_2025</x:v>
      </x:c>
      <x:c r="F376" t="n">
        <x:v>160</x:v>
      </x:c>
      <x:c r="G376" t="str">
        <x:v>2026-02-12</x:v>
      </x:c>
      <x:c r="H376" t="str">
        <x:v>https://s26.q4cdn.com/410417801/files/doc_financials/2025/AR/2026-Travelers-Annual-Report-Final.pdf</x:v>
      </x:c>
      <x:c r="I376" t="str">
        <x:v>https://www.sec.gov/Archives/edgar/data/86312/000008631226000065/0000086312-26-000065-index.htm</x:v>
      </x:c>
      <x:c r="J376" t="str">
        <x:v>94fc0b121687402eac9a025d2701d2fe93c0789143797961ad6faad1c6dcb5b6</x:v>
      </x:c>
    </x:row>
    <x:row r="377">
      <x:c r="A377" t="n">
        <x:v>2023</x:v>
      </x:c>
      <x:c r="B377" t="str">
        <x:v>closing_equity</x:v>
      </x:c>
      <x:c r="C377" s="1" t="n">
        <x:v>24921</x:v>
      </x:c>
      <x:c r="D377" t="str">
        <x:v>disclosed</x:v>
      </x:c>
      <x:c r="E377" t="str">
        <x:v>trv_ar_2025</x:v>
      </x:c>
      <x:c r="F377" t="n">
        <x:v>160</x:v>
      </x:c>
      <x:c r="G377" t="str">
        <x:v>2026-02-12</x:v>
      </x:c>
      <x:c r="H377" t="str">
        <x:v>https://s26.q4cdn.com/410417801/files/doc_financials/2025/AR/2026-Travelers-Annual-Report-Final.pdf</x:v>
      </x:c>
      <x:c r="I377" t="str">
        <x:v>https://www.sec.gov/Archives/edgar/data/86312/000008631226000065/0000086312-26-000065-index.htm</x:v>
      </x:c>
      <x:c r="J377" t="str">
        <x:v>94fc0b121687402eac9a025d2701d2fe93c0789143797961ad6faad1c6dcb5b6</x:v>
      </x:c>
    </x:row>
    <x:row r="378">
      <x:c r="A378" t="n">
        <x:v>2023</x:v>
      </x:c>
      <x:c r="B378" t="str">
        <x:v>closing_shares</x:v>
      </x:c>
      <x:c r="C378" s="1" t="n">
        <x:v>228.2</x:v>
      </x:c>
      <x:c r="D378" t="str">
        <x:v>disclosed</x:v>
      </x:c>
      <x:c r="E378" t="str">
        <x:v>trv_ar_2025</x:v>
      </x:c>
      <x:c r="F378" t="n">
        <x:v>160</x:v>
      </x:c>
      <x:c r="G378" t="str">
        <x:v>2026-02-12</x:v>
      </x:c>
      <x:c r="H378" t="str">
        <x:v>https://s26.q4cdn.com/410417801/files/doc_financials/2025/AR/2026-Travelers-Annual-Report-Final.pdf</x:v>
      </x:c>
      <x:c r="I378" t="str">
        <x:v>https://www.sec.gov/Archives/edgar/data/86312/000008631226000065/0000086312-26-000065-index.htm</x:v>
      </x:c>
      <x:c r="J378" t="str">
        <x:v>94fc0b121687402eac9a025d2701d2fe93c0789143797961ad6faad1c6dcb5b6</x:v>
      </x:c>
    </x:row>
    <x:row r="379">
      <x:c r="A379" t="n">
        <x:v>2023</x:v>
      </x:c>
      <x:c r="B379" t="str">
        <x:v>common_stock</x:v>
      </x:c>
      <x:c r="C379" s="1" t="n">
        <x:v>24906</x:v>
      </x:c>
      <x:c r="D379" t="str">
        <x:v>disclosed</x:v>
      </x:c>
      <x:c r="E379" t="str">
        <x:v>trv_ar_2023</x:v>
      </x:c>
      <x:c r="F379" t="n">
        <x:v>147</x:v>
      </x:c>
      <x:c r="G379" t="str">
        <x:v>2024-02-15</x:v>
      </x:c>
      <x:c r="H379" t="str">
        <x:v>https://s26.q4cdn.com/410417801/files/doc_financials/2023/ar/Travelers-2023-Annual__Report.pdf</x:v>
      </x:c>
      <x:c r="I379" t="str">
        <x:v>https://www.sec.gov/Archives/edgar/data/86312/000008631224000012/0000086312-24-000012-index.htm</x:v>
      </x:c>
      <x:c r="J379" t="str">
        <x:v>53f73eab62a87649bddd9402c5e9b9fb7087192b4df27a788f7b1189250829e3</x:v>
      </x:c>
    </x:row>
    <x:row r="380">
      <x:c r="A380" t="n">
        <x:v>2023</x:v>
      </x:c>
      <x:c r="B380" t="str">
        <x:v>contractholder_payables</x:v>
      </x:c>
      <x:c r="C380" s="1" t="n">
        <x:v>3269</x:v>
      </x:c>
      <x:c r="D380" t="str">
        <x:v>disclosed</x:v>
      </x:c>
      <x:c r="E380" t="str">
        <x:v>trv_ar_2023</x:v>
      </x:c>
      <x:c r="F380" t="n">
        <x:v>147</x:v>
      </x:c>
      <x:c r="G380" t="str">
        <x:v>2024-02-15</x:v>
      </x:c>
      <x:c r="H380" t="str">
        <x:v>https://s26.q4cdn.com/410417801/files/doc_financials/2023/ar/Travelers-2023-Annual__Report.pdf</x:v>
      </x:c>
      <x:c r="I380" t="str">
        <x:v>https://www.sec.gov/Archives/edgar/data/86312/000008631224000012/0000086312-24-000012-index.htm</x:v>
      </x:c>
      <x:c r="J380" t="str">
        <x:v>53f73eab62a87649bddd9402c5e9b9fb7087192b4df27a788f7b1189250829e3</x:v>
      </x:c>
    </x:row>
    <x:row r="381">
      <x:c r="A381" t="n">
        <x:v>2023</x:v>
      </x:c>
      <x:c r="B381" t="str">
        <x:v>contractholder_receivables</x:v>
      </x:c>
      <x:c r="C381" s="1" t="n">
        <x:v>3249</x:v>
      </x:c>
      <x:c r="D381" t="str">
        <x:v>disclosed</x:v>
      </x:c>
      <x:c r="E381" t="str">
        <x:v>trv_ar_2023</x:v>
      </x:c>
      <x:c r="F381" t="n">
        <x:v>147</x:v>
      </x:c>
      <x:c r="G381" t="str">
        <x:v>2024-02-15</x:v>
      </x:c>
      <x:c r="H381" t="str">
        <x:v>https://s26.q4cdn.com/410417801/files/doc_financials/2023/ar/Travelers-2023-Annual__Report.pdf</x:v>
      </x:c>
      <x:c r="I381" t="str">
        <x:v>https://www.sec.gov/Archives/edgar/data/86312/000008631224000012/0000086312-24-000012-index.htm</x:v>
      </x:c>
      <x:c r="J381" t="str">
        <x:v>53f73eab62a87649bddd9402c5e9b9fb7087192b4df27a788f7b1189250829e3</x:v>
      </x:c>
    </x:row>
    <x:row r="382">
      <x:c r="A382" t="n">
        <x:v>2023</x:v>
      </x:c>
      <x:c r="B382" t="str">
        <x:v>current_incurred</x:v>
      </x:c>
      <x:c r="C382" s="1" t="n">
        <x:v>26159</x:v>
      </x:c>
      <x:c r="D382" t="str">
        <x:v>disclosed</x:v>
      </x:c>
      <x:c r="E382" t="str">
        <x:v>trv_ar_2023</x:v>
      </x:c>
      <x:c r="F382" t="n">
        <x:v>181</x:v>
      </x:c>
      <x:c r="G382" t="str">
        <x:v>2024-02-15</x:v>
      </x:c>
      <x:c r="H382" t="str">
        <x:v>https://s26.q4cdn.com/410417801/files/doc_financials/2023/ar/Travelers-2023-Annual__Report.pdf</x:v>
      </x:c>
      <x:c r="I382" t="str">
        <x:v>https://www.sec.gov/Archives/edgar/data/86312/000008631224000012/0000086312-24-000012-index.htm</x:v>
      </x:c>
      <x:c r="J382" t="str">
        <x:v>53f73eab62a87649bddd9402c5e9b9fb7087192b4df27a788f7b1189250829e3</x:v>
      </x:c>
    </x:row>
    <x:row r="383">
      <x:c r="A383" t="n">
        <x:v>2023</x:v>
      </x:c>
      <x:c r="B383" t="str">
        <x:v>dac</x:v>
      </x:c>
      <x:c r="C383" s="1" t="n">
        <x:v>3306</x:v>
      </x:c>
      <x:c r="D383" t="str">
        <x:v>disclosed</x:v>
      </x:c>
      <x:c r="E383" t="str">
        <x:v>trv_ar_2023</x:v>
      </x:c>
      <x:c r="F383" t="n">
        <x:v>147</x:v>
      </x:c>
      <x:c r="G383" t="str">
        <x:v>2024-02-15</x:v>
      </x:c>
      <x:c r="H383" t="str">
        <x:v>https://s26.q4cdn.com/410417801/files/doc_financials/2023/ar/Travelers-2023-Annual__Report.pdf</x:v>
      </x:c>
      <x:c r="I383" t="str">
        <x:v>https://www.sec.gov/Archives/edgar/data/86312/000008631224000012/0000086312-24-000012-index.htm</x:v>
      </x:c>
      <x:c r="J383" t="str">
        <x:v>53f73eab62a87649bddd9402c5e9b9fb7087192b4df27a788f7b1189250829e3</x:v>
      </x:c>
    </x:row>
    <x:row r="384">
      <x:c r="A384" t="n">
        <x:v>2023</x:v>
      </x:c>
      <x:c r="B384" t="str">
        <x:v>dac_amortization</x:v>
      </x:c>
      <x:c r="C384" s="1" t="n">
        <x:v>6226</x:v>
      </x:c>
      <x:c r="D384" t="str">
        <x:v>disclosed</x:v>
      </x:c>
      <x:c r="E384" t="str">
        <x:v>trv_ar_2025</x:v>
      </x:c>
      <x:c r="F384" t="n">
        <x:v>157</x:v>
      </x:c>
      <x:c r="G384" t="str">
        <x:v>2026-02-12</x:v>
      </x:c>
      <x:c r="H384" t="str">
        <x:v>https://s26.q4cdn.com/410417801/files/doc_financials/2025/AR/2026-Travelers-Annual-Report-Final.pdf</x:v>
      </x:c>
      <x:c r="I384" t="str">
        <x:v>https://www.sec.gov/Archives/edgar/data/86312/000008631226000065/0000086312-26-000065-index.htm</x:v>
      </x:c>
      <x:c r="J384" t="str">
        <x:v>94fc0b121687402eac9a025d2701d2fe93c0789143797961ad6faad1c6dcb5b6</x:v>
      </x:c>
    </x:row>
    <x:row r="385">
      <x:c r="A385" t="n">
        <x:v>2023</x:v>
      </x:c>
      <x:c r="B385" t="str">
        <x:v>dac_cash_additions</x:v>
      </x:c>
      <x:c r="C385" s="1" t="n">
        <x:v>6689</x:v>
      </x:c>
      <x:c r="D385" t="str">
        <x:v>disclosed</x:v>
      </x:c>
      <x:c r="E385" t="str">
        <x:v>trv_ar_2025</x:v>
      </x:c>
      <x:c r="F385" t="n">
        <x:v>161</x:v>
      </x:c>
      <x:c r="G385" t="str">
        <x:v>2026-02-12</x:v>
      </x:c>
      <x:c r="H385" t="str">
        <x:v>https://s26.q4cdn.com/410417801/files/doc_financials/2025/AR/2026-Travelers-Annual-Report-Final.pdf</x:v>
      </x:c>
      <x:c r="I385" t="str">
        <x:v>https://www.sec.gov/Archives/edgar/data/86312/000008631226000065/0000086312-26-000065-index.htm</x:v>
      </x:c>
      <x:c r="J385" t="str">
        <x:v>94fc0b121687402eac9a025d2701d2fe93c0789143797961ad6faad1c6dcb5b6</x:v>
      </x:c>
    </x:row>
    <x:row r="386">
      <x:c r="A386" t="n">
        <x:v>2023</x:v>
      </x:c>
      <x:c r="B386" t="str">
        <x:v>debt</x:v>
      </x:c>
      <x:c r="C386" s="1" t="n">
        <x:v>8031</x:v>
      </x:c>
      <x:c r="D386" t="str">
        <x:v>disclosed</x:v>
      </x:c>
      <x:c r="E386" t="str">
        <x:v>trv_ar_2023</x:v>
      </x:c>
      <x:c r="F386" t="n">
        <x:v>147</x:v>
      </x:c>
      <x:c r="G386" t="str">
        <x:v>2024-02-15</x:v>
      </x:c>
      <x:c r="H386" t="str">
        <x:v>https://s26.q4cdn.com/410417801/files/doc_financials/2023/ar/Travelers-2023-Annual__Report.pdf</x:v>
      </x:c>
      <x:c r="I386" t="str">
        <x:v>https://www.sec.gov/Archives/edgar/data/86312/000008631224000012/0000086312-24-000012-index.htm</x:v>
      </x:c>
      <x:c r="J386" t="str">
        <x:v>53f73eab62a87649bddd9402c5e9b9fb7087192b4df27a788f7b1189250829e3</x:v>
      </x:c>
    </x:row>
    <x:row r="387">
      <x:c r="A387" t="n">
        <x:v>2023</x:v>
      </x:c>
      <x:c r="B387" t="str">
        <x:v>debt_issuance</x:v>
      </x:c>
      <x:c r="C387" s="1" t="n">
        <x:v>738</x:v>
      </x:c>
      <x:c r="D387" t="str">
        <x:v>disclosed</x:v>
      </x:c>
      <x:c r="E387" t="str">
        <x:v>trv_ar_2025</x:v>
      </x:c>
      <x:c r="F387" t="n">
        <x:v>161</x:v>
      </x:c>
      <x:c r="G387" t="str">
        <x:v>2026-02-12</x:v>
      </x:c>
      <x:c r="H387" t="str">
        <x:v>https://s26.q4cdn.com/410417801/files/doc_financials/2025/AR/2026-Travelers-Annual-Report-Final.pdf</x:v>
      </x:c>
      <x:c r="I387" t="str">
        <x:v>https://www.sec.gov/Archives/edgar/data/86312/000008631226000065/0000086312-26-000065-index.htm</x:v>
      </x:c>
      <x:c r="J387" t="str">
        <x:v>94fc0b121687402eac9a025d2701d2fe93c0789143797961ad6faad1c6dcb5b6</x:v>
      </x:c>
    </x:row>
    <x:row r="388">
      <x:c r="A388" t="n">
        <x:v>2023</x:v>
      </x:c>
      <x:c r="B388" t="str">
        <x:v>debt_repayment</x:v>
      </x:c>
      <x:c r="C388" s="1" t="n">
        <x:v>0</x:v>
      </x:c>
      <x:c r="D388" t="str">
        <x:v>disclosed</x:v>
      </x:c>
      <x:c r="E388" t="str">
        <x:v>trv_ar_2025</x:v>
      </x:c>
      <x:c r="F388" t="n">
        <x:v>161</x:v>
      </x:c>
      <x:c r="G388" t="str">
        <x:v>2026-02-12</x:v>
      </x:c>
      <x:c r="H388" t="str">
        <x:v>https://s26.q4cdn.com/410417801/files/doc_financials/2025/AR/2026-Travelers-Annual-Report-Final.pdf</x:v>
      </x:c>
      <x:c r="I388" t="str">
        <x:v>https://www.sec.gov/Archives/edgar/data/86312/000008631226000065/0000086312-26-000065-index.htm</x:v>
      </x:c>
      <x:c r="J388" t="str">
        <x:v>94fc0b121687402eac9a025d2701d2fe93c0789143797961ad6faad1c6dcb5b6</x:v>
      </x:c>
    </x:row>
    <x:row r="389">
      <x:c r="A389" t="n">
        <x:v>2023</x:v>
      </x:c>
      <x:c r="B389" t="str">
        <x:v>deferred_tax_asset</x:v>
      </x:c>
      <x:c r="C389" s="1" t="n">
        <x:v>1504</x:v>
      </x:c>
      <x:c r="D389" t="str">
        <x:v>disclosed</x:v>
      </x:c>
      <x:c r="E389" t="str">
        <x:v>trv_ar_2023</x:v>
      </x:c>
      <x:c r="F389" t="n">
        <x:v>147</x:v>
      </x:c>
      <x:c r="G389" t="str">
        <x:v>2024-02-15</x:v>
      </x:c>
      <x:c r="H389" t="str">
        <x:v>https://s26.q4cdn.com/410417801/files/doc_financials/2023/ar/Travelers-2023-Annual__Report.pdf</x:v>
      </x:c>
      <x:c r="I389" t="str">
        <x:v>https://www.sec.gov/Archives/edgar/data/86312/000008631224000012/0000086312-24-000012-index.htm</x:v>
      </x:c>
      <x:c r="J389" t="str">
        <x:v>53f73eab62a87649bddd9402c5e9b9fb7087192b4df27a788f7b1189250829e3</x:v>
      </x:c>
    </x:row>
    <x:row r="390">
      <x:c r="A390" t="n">
        <x:v>2023</x:v>
      </x:c>
      <x:c r="B390" t="str">
        <x:v>direct_earned</x:v>
      </x:c>
      <x:c r="C390" s="1" t="n">
        <x:v>38796</x:v>
      </x:c>
      <x:c r="D390" t="str">
        <x:v>disclosed</x:v>
      </x:c>
      <x:c r="E390" t="str">
        <x:v>trv_ar_2025</x:v>
      </x:c>
      <x:c r="F390" t="n">
        <x:v>193</x:v>
      </x:c>
      <x:c r="G390" t="str">
        <x:v>2026-02-12</x:v>
      </x:c>
      <x:c r="H390" t="str">
        <x:v>https://s26.q4cdn.com/410417801/files/doc_financials/2025/AR/2026-Travelers-Annual-Report-Final.pdf</x:v>
      </x:c>
      <x:c r="I390" t="str">
        <x:v>https://www.sec.gov/Archives/edgar/data/86312/000008631226000065/0000086312-26-000065-index.htm</x:v>
      </x:c>
      <x:c r="J390" t="str">
        <x:v>94fc0b121687402eac9a025d2701d2fe93c0789143797961ad6faad1c6dcb5b6</x:v>
      </x:c>
    </x:row>
    <x:row r="391">
      <x:c r="A391" t="n">
        <x:v>2023</x:v>
      </x:c>
      <x:c r="B391" t="str">
        <x:v>direct_written</x:v>
      </x:c>
      <x:c r="C391" s="1" t="n">
        <x:v>40983</x:v>
      </x:c>
      <x:c r="D391" t="str">
        <x:v>disclosed</x:v>
      </x:c>
      <x:c r="E391" t="str">
        <x:v>trv_ar_2025</x:v>
      </x:c>
      <x:c r="F391" t="n">
        <x:v>193</x:v>
      </x:c>
      <x:c r="G391" t="str">
        <x:v>2026-02-12</x:v>
      </x:c>
      <x:c r="H391" t="str">
        <x:v>https://s26.q4cdn.com/410417801/files/doc_financials/2025/AR/2026-Travelers-Annual-Report-Final.pdf</x:v>
      </x:c>
      <x:c r="I391" t="str">
        <x:v>https://www.sec.gov/Archives/edgar/data/86312/000008631226000065/0000086312-26-000065-index.htm</x:v>
      </x:c>
      <x:c r="J391" t="str">
        <x:v>94fc0b121687402eac9a025d2701d2fe93c0789143797961ad6faad1c6dcb5b6</x:v>
      </x:c>
    </x:row>
    <x:row r="392">
      <x:c r="A392" t="n">
        <x:v>2023</x:v>
      </x:c>
      <x:c r="B392" t="str">
        <x:v>dividends_cash</x:v>
      </x:c>
      <x:c r="C392" s="1" t="n">
        <x:v>908</x:v>
      </x:c>
      <x:c r="D392" t="str">
        <x:v>disclosed</x:v>
      </x:c>
      <x:c r="E392" t="str">
        <x:v>trv_ar_2025</x:v>
      </x:c>
      <x:c r="F392" t="n">
        <x:v>161</x:v>
      </x:c>
      <x:c r="G392" t="str">
        <x:v>2026-02-12</x:v>
      </x:c>
      <x:c r="H392" t="str">
        <x:v>https://s26.q4cdn.com/410417801/files/doc_financials/2025/AR/2026-Travelers-Annual-Report-Final.pdf</x:v>
      </x:c>
      <x:c r="I392" t="str">
        <x:v>https://www.sec.gov/Archives/edgar/data/86312/000008631226000065/0000086312-26-000065-index.htm</x:v>
      </x:c>
      <x:c r="J392" t="str">
        <x:v>94fc0b121687402eac9a025d2701d2fe93c0789143797961ad6faad1c6dcb5b6</x:v>
      </x:c>
    </x:row>
    <x:row r="393">
      <x:c r="A393" t="n">
        <x:v>2023</x:v>
      </x:c>
      <x:c r="B393" t="str">
        <x:v>employee_option_cash</x:v>
      </x:c>
      <x:c r="C393" s="1" t="n">
        <x:v>141</x:v>
      </x:c>
      <x:c r="D393" t="str">
        <x:v>disclosed</x:v>
      </x:c>
      <x:c r="E393" t="str">
        <x:v>trv_ar_2025</x:v>
      </x:c>
      <x:c r="F393" t="n">
        <x:v>161</x:v>
      </x:c>
      <x:c r="G393" t="str">
        <x:v>2026-02-12</x:v>
      </x:c>
      <x:c r="H393" t="str">
        <x:v>https://s26.q4cdn.com/410417801/files/doc_financials/2025/AR/2026-Travelers-Annual-Report-Final.pdf</x:v>
      </x:c>
      <x:c r="I393" t="str">
        <x:v>https://www.sec.gov/Archives/edgar/data/86312/000008631226000065/0000086312-26-000065-index.htm</x:v>
      </x:c>
      <x:c r="J393" t="str">
        <x:v>94fc0b121687402eac9a025d2701d2fe93c0789143797961ad6faad1c6dcb5b6</x:v>
      </x:c>
    </x:row>
    <x:row r="394">
      <x:c r="A394" t="n">
        <x:v>2023</x:v>
      </x:c>
      <x:c r="B394" t="str">
        <x:v>employee_share_net_cash</x:v>
      </x:c>
      <x:c r="C394" s="1" t="n">
        <x:v>64</x:v>
      </x:c>
      <x:c r="D394" t="str">
        <x:v>disclosed</x:v>
      </x:c>
      <x:c r="E394" t="str">
        <x:v>trv_ar_2025</x:v>
      </x:c>
      <x:c r="F394" t="n">
        <x:v>161</x:v>
      </x:c>
      <x:c r="G394" t="str">
        <x:v>2026-02-12</x:v>
      </x:c>
      <x:c r="H394" t="str">
        <x:v>https://s26.q4cdn.com/410417801/files/doc_financials/2025/AR/2026-Travelers-Annual-Report-Final.pdf</x:v>
      </x:c>
      <x:c r="I394" t="str">
        <x:v>https://www.sec.gov/Archives/edgar/data/86312/000008631226000065/0000086312-26-000065-index.htm</x:v>
      </x:c>
      <x:c r="J394" t="str">
        <x:v>94fc0b121687402eac9a025d2701d2fe93c0789143797961ad6faad1c6dcb5b6</x:v>
      </x:c>
    </x:row>
    <x:row r="395">
      <x:c r="A395" t="n">
        <x:v>2023</x:v>
      </x:c>
      <x:c r="B395" t="str">
        <x:v>employee_shares_equity</x:v>
      </x:c>
      <x:c r="C395" s="1" t="n">
        <x:v>125</x:v>
      </x:c>
      <x:c r="D395" t="str">
        <x:v>disclosed</x:v>
      </x:c>
      <x:c r="E395" t="str">
        <x:v>trv_ar_2025</x:v>
      </x:c>
      <x:c r="F395" t="n">
        <x:v>160</x:v>
      </x:c>
      <x:c r="G395" t="str">
        <x:v>2026-02-12</x:v>
      </x:c>
      <x:c r="H395" t="str">
        <x:v>https://s26.q4cdn.com/410417801/files/doc_financials/2025/AR/2026-Travelers-Annual-Report-Final.pdf</x:v>
      </x:c>
      <x:c r="I395" t="str">
        <x:v>https://www.sec.gov/Archives/edgar/data/86312/000008631226000065/0000086312-26-000065-index.htm</x:v>
      </x:c>
      <x:c r="J395" t="str">
        <x:v>94fc0b121687402eac9a025d2701d2fe93c0789143797961ad6faad1c6dcb5b6</x:v>
      </x:c>
    </x:row>
    <x:row r="396">
      <x:c r="A396" t="n">
        <x:v>2023</x:v>
      </x:c>
      <x:c r="B396" t="str">
        <x:v>equity</x:v>
      </x:c>
      <x:c r="C396" s="1" t="n">
        <x:v>24921</x:v>
      </x:c>
      <x:c r="D396" t="str">
        <x:v>disclosed</x:v>
      </x:c>
      <x:c r="E396" t="str">
        <x:v>trv_ar_2023</x:v>
      </x:c>
      <x:c r="F396" t="n">
        <x:v>147</x:v>
      </x:c>
      <x:c r="G396" t="str">
        <x:v>2024-02-15</x:v>
      </x:c>
      <x:c r="H396" t="str">
        <x:v>https://s26.q4cdn.com/410417801/files/doc_financials/2023/ar/Travelers-2023-Annual__Report.pdf</x:v>
      </x:c>
      <x:c r="I396" t="str">
        <x:v>https://www.sec.gov/Archives/edgar/data/86312/000008631224000012/0000086312-24-000012-index.htm</x:v>
      </x:c>
      <x:c r="J396" t="str">
        <x:v>53f73eab62a87649bddd9402c5e9b9fb7087192b4df27a788f7b1189250829e3</x:v>
      </x:c>
    </x:row>
    <x:row r="397">
      <x:c r="A397" t="n">
        <x:v>2023</x:v>
      </x:c>
      <x:c r="B397" t="str">
        <x:v>equity_buybacks_authorized</x:v>
      </x:c>
      <x:c r="C397" s="1" t="n">
        <x:v>965</x:v>
      </x:c>
      <x:c r="D397" t="str">
        <x:v>disclosed</x:v>
      </x:c>
      <x:c r="E397" t="str">
        <x:v>trv_ar_2025</x:v>
      </x:c>
      <x:c r="F397" t="n">
        <x:v>160</x:v>
      </x:c>
      <x:c r="G397" t="str">
        <x:v>2026-02-12</x:v>
      </x:c>
      <x:c r="H397" t="str">
        <x:v>https://s26.q4cdn.com/410417801/files/doc_financials/2025/AR/2026-Travelers-Annual-Report-Final.pdf</x:v>
      </x:c>
      <x:c r="I397" t="str">
        <x:v>https://www.sec.gov/Archives/edgar/data/86312/000008631226000065/0000086312-26-000065-index.htm</x:v>
      </x:c>
      <x:c r="J397" t="str">
        <x:v>94fc0b121687402eac9a025d2701d2fe93c0789143797961ad6faad1c6dcb5b6</x:v>
      </x:c>
    </x:row>
    <x:row r="398">
      <x:c r="A398" t="n">
        <x:v>2023</x:v>
      </x:c>
      <x:c r="B398" t="str">
        <x:v>equity_dividends</x:v>
      </x:c>
      <x:c r="C398" s="1" t="n">
        <x:v>915</x:v>
      </x:c>
      <x:c r="D398" t="str">
        <x:v>disclosed</x:v>
      </x:c>
      <x:c r="E398" t="str">
        <x:v>trv_ar_2025</x:v>
      </x:c>
      <x:c r="F398" t="n">
        <x:v>160</x:v>
      </x:c>
      <x:c r="G398" t="str">
        <x:v>2026-02-12</x:v>
      </x:c>
      <x:c r="H398" t="str">
        <x:v>https://s26.q4cdn.com/410417801/files/doc_financials/2025/AR/2026-Travelers-Annual-Report-Final.pdf</x:v>
      </x:c>
      <x:c r="I398" t="str">
        <x:v>https://www.sec.gov/Archives/edgar/data/86312/000008631226000065/0000086312-26-000065-index.htm</x:v>
      </x:c>
      <x:c r="J398" t="str">
        <x:v>94fc0b121687402eac9a025d2701d2fe93c0789143797961ad6faad1c6dcb5b6</x:v>
      </x:c>
    </x:row>
    <x:row r="399">
      <x:c r="A399" t="n">
        <x:v>2023</x:v>
      </x:c>
      <x:c r="B399" t="str">
        <x:v>equity_employee_treasury</x:v>
      </x:c>
      <x:c r="C399" s="1" t="n">
        <x:v>64</x:v>
      </x:c>
      <x:c r="D399" t="str">
        <x:v>disclosed</x:v>
      </x:c>
      <x:c r="E399" t="str">
        <x:v>trv_ar_2025</x:v>
      </x:c>
      <x:c r="F399" t="n">
        <x:v>160</x:v>
      </x:c>
      <x:c r="G399" t="str">
        <x:v>2026-02-12</x:v>
      </x:c>
      <x:c r="H399" t="str">
        <x:v>https://s26.q4cdn.com/410417801/files/doc_financials/2025/AR/2026-Travelers-Annual-Report-Final.pdf</x:v>
      </x:c>
      <x:c r="I399" t="str">
        <x:v>https://www.sec.gov/Archives/edgar/data/86312/000008631226000065/0000086312-26-000065-index.htm</x:v>
      </x:c>
      <x:c r="J399" t="str">
        <x:v>94fc0b121687402eac9a025d2701d2fe93c0789143797961ad6faad1c6dcb5b6</x:v>
      </x:c>
    </x:row>
    <x:row r="400">
      <x:c r="A400" t="n">
        <x:v>2023</x:v>
      </x:c>
      <x:c r="B400" t="str">
        <x:v>equity_investments</x:v>
      </x:c>
      <x:c r="C400" s="1" t="n">
        <x:v>608</x:v>
      </x:c>
      <x:c r="D400" t="str">
        <x:v>disclosed</x:v>
      </x:c>
      <x:c r="E400" t="str">
        <x:v>trv_ar_2023</x:v>
      </x:c>
      <x:c r="F400" t="n">
        <x:v>147</x:v>
      </x:c>
      <x:c r="G400" t="str">
        <x:v>2024-02-15</x:v>
      </x:c>
      <x:c r="H400" t="str">
        <x:v>https://s26.q4cdn.com/410417801/files/doc_financials/2023/ar/Travelers-2023-Annual__Report.pdf</x:v>
      </x:c>
      <x:c r="I400" t="str">
        <x:v>https://www.sec.gov/Archives/edgar/data/86312/000008631224000012/0000086312-24-000012-index.htm</x:v>
      </x:c>
      <x:c r="J400" t="str">
        <x:v>53f73eab62a87649bddd9402c5e9b9fb7087192b4df27a788f7b1189250829e3</x:v>
      </x:c>
    </x:row>
    <x:row r="401">
      <x:c r="A401" t="n">
        <x:v>2023</x:v>
      </x:c>
      <x:c r="B401" t="str">
        <x:v>equity_security_purchases</x:v>
      </x:c>
      <x:c r="C401" s="1" t="n">
        <x:v>105</x:v>
      </x:c>
      <x:c r="D401" t="str">
        <x:v>disclosed</x:v>
      </x:c>
      <x:c r="E401" t="str">
        <x:v>trv_ar_2025</x:v>
      </x:c>
      <x:c r="F401" t="n">
        <x:v>161</x:v>
      </x:c>
      <x:c r="G401" t="str">
        <x:v>2026-02-12</x:v>
      </x:c>
      <x:c r="H401" t="str">
        <x:v>https://s26.q4cdn.com/410417801/files/doc_financials/2025/AR/2026-Travelers-Annual-Report-Final.pdf</x:v>
      </x:c>
      <x:c r="I401" t="str">
        <x:v>https://www.sec.gov/Archives/edgar/data/86312/000008631226000065/0000086312-26-000065-index.htm</x:v>
      </x:c>
      <x:c r="J401" t="str">
        <x:v>94fc0b121687402eac9a025d2701d2fe93c0789143797961ad6faad1c6dcb5b6</x:v>
      </x:c>
    </x:row>
    <x:row r="402">
      <x:c r="A402" t="n">
        <x:v>2023</x:v>
      </x:c>
      <x:c r="B402" t="str">
        <x:v>equity_security_sale_proceeds</x:v>
      </x:c>
      <x:c r="C402" s="1" t="n">
        <x:v>138</x:v>
      </x:c>
      <x:c r="D402" t="str">
        <x:v>disclosed</x:v>
      </x:c>
      <x:c r="E402" t="str">
        <x:v>trv_ar_2025</x:v>
      </x:c>
      <x:c r="F402" t="n">
        <x:v>161</x:v>
      </x:c>
      <x:c r="G402" t="str">
        <x:v>2026-02-12</x:v>
      </x:c>
      <x:c r="H402" t="str">
        <x:v>https://s26.q4cdn.com/410417801/files/doc_financials/2025/AR/2026-Travelers-Annual-Report-Final.pdf</x:v>
      </x:c>
      <x:c r="I402" t="str">
        <x:v>https://www.sec.gov/Archives/edgar/data/86312/000008631226000065/0000086312-26-000065-index.htm</x:v>
      </x:c>
      <x:c r="J402" t="str">
        <x:v>94fc0b121687402eac9a025d2701d2fe93c0789143797961ad6faad1c6dcb5b6</x:v>
      </x:c>
    </x:row>
    <x:row r="403">
      <x:c r="A403" t="n">
        <x:v>2023</x:v>
      </x:c>
      <x:c r="B403" t="str">
        <x:v>fee_income</x:v>
      </x:c>
      <x:c r="C403" s="1" t="n">
        <x:v>433</x:v>
      </x:c>
      <x:c r="D403" t="str">
        <x:v>disclosed</x:v>
      </x:c>
      <x:c r="E403" t="str">
        <x:v>trv_ar_2025</x:v>
      </x:c>
      <x:c r="F403" t="n">
        <x:v>157</x:v>
      </x:c>
      <x:c r="G403" t="str">
        <x:v>2026-02-12</x:v>
      </x:c>
      <x:c r="H403" t="str">
        <x:v>https://s26.q4cdn.com/410417801/files/doc_financials/2025/AR/2026-Travelers-Annual-Report-Final.pdf</x:v>
      </x:c>
      <x:c r="I403" t="str">
        <x:v>https://www.sec.gov/Archives/edgar/data/86312/000008631226000065/0000086312-26-000065-index.htm</x:v>
      </x:c>
      <x:c r="J403" t="str">
        <x:v>94fc0b121687402eac9a025d2701d2fe93c0789143797961ad6faad1c6dcb5b6</x:v>
      </x:c>
    </x:row>
    <x:row r="404">
      <x:c r="A404" t="n">
        <x:v>2023</x:v>
      </x:c>
      <x:c r="B404" t="str">
        <x:v>fixed_maturity_cost</x:v>
      </x:c>
      <x:c r="C404" s="1" t="n">
        <x:v>81781</x:v>
      </x:c>
      <x:c r="D404" t="str">
        <x:v>disclosed</x:v>
      </x:c>
      <x:c r="E404" t="str">
        <x:v>trv_ar_2023</x:v>
      </x:c>
      <x:c r="F404" t="n">
        <x:v>147</x:v>
      </x:c>
      <x:c r="G404" t="str">
        <x:v>2024-02-15</x:v>
      </x:c>
      <x:c r="H404" t="str">
        <x:v>https://s26.q4cdn.com/410417801/files/doc_financials/2023/ar/Travelers-2023-Annual__Report.pdf</x:v>
      </x:c>
      <x:c r="I404" t="str">
        <x:v>https://www.sec.gov/Archives/edgar/data/86312/000008631224000012/0000086312-24-000012-index.htm</x:v>
      </x:c>
      <x:c r="J404" t="str">
        <x:v>53f73eab62a87649bddd9402c5e9b9fb7087192b4df27a788f7b1189250829e3</x:v>
      </x:c>
    </x:row>
    <x:row r="405">
      <x:c r="A405" t="n">
        <x:v>2023</x:v>
      </x:c>
      <x:c r="B405" t="str">
        <x:v>fixed_maturity_fair</x:v>
      </x:c>
      <x:c r="C405" s="1" t="n">
        <x:v>77807</x:v>
      </x:c>
      <x:c r="D405" t="str">
        <x:v>disclosed</x:v>
      </x:c>
      <x:c r="E405" t="str">
        <x:v>trv_ar_2023</x:v>
      </x:c>
      <x:c r="F405" t="n">
        <x:v>147</x:v>
      </x:c>
      <x:c r="G405" t="str">
        <x:v>2024-02-15</x:v>
      </x:c>
      <x:c r="H405" t="str">
        <x:v>https://s26.q4cdn.com/410417801/files/doc_financials/2023/ar/Travelers-2023-Annual__Report.pdf</x:v>
      </x:c>
      <x:c r="I405" t="str">
        <x:v>https://www.sec.gov/Archives/edgar/data/86312/000008631224000012/0000086312-24-000012-index.htm</x:v>
      </x:c>
      <x:c r="J405" t="str">
        <x:v>53f73eab62a87649bddd9402c5e9b9fb7087192b4df27a788f7b1189250829e3</x:v>
      </x:c>
    </x:row>
    <x:row r="406">
      <x:c r="A406" t="n">
        <x:v>2023</x:v>
      </x:c>
      <x:c r="B406" t="str">
        <x:v>fixed_maturity_maturities</x:v>
      </x:c>
      <x:c r="C406" s="1" t="n">
        <x:v>6371</x:v>
      </x:c>
      <x:c r="D406" t="str">
        <x:v>disclosed</x:v>
      </x:c>
      <x:c r="E406" t="str">
        <x:v>trv_ar_2025</x:v>
      </x:c>
      <x:c r="F406" t="n">
        <x:v>161</x:v>
      </x:c>
      <x:c r="G406" t="str">
        <x:v>2026-02-12</x:v>
      </x:c>
      <x:c r="H406" t="str">
        <x:v>https://s26.q4cdn.com/410417801/files/doc_financials/2025/AR/2026-Travelers-Annual-Report-Final.pdf</x:v>
      </x:c>
      <x:c r="I406" t="str">
        <x:v>https://www.sec.gov/Archives/edgar/data/86312/000008631226000065/0000086312-26-000065-index.htm</x:v>
      </x:c>
      <x:c r="J406" t="str">
        <x:v>94fc0b121687402eac9a025d2701d2fe93c0789143797961ad6faad1c6dcb5b6</x:v>
      </x:c>
    </x:row>
    <x:row r="407">
      <x:c r="A407" t="n">
        <x:v>2023</x:v>
      </x:c>
      <x:c r="B407" t="str">
        <x:v>fixed_maturity_purchases</x:v>
      </x:c>
      <x:c r="C407" s="1" t="n">
        <x:v>15690</x:v>
      </x:c>
      <x:c r="D407" t="str">
        <x:v>disclosed</x:v>
      </x:c>
      <x:c r="E407" t="str">
        <x:v>trv_ar_2025</x:v>
      </x:c>
      <x:c r="F407" t="n">
        <x:v>161</x:v>
      </x:c>
      <x:c r="G407" t="str">
        <x:v>2026-02-12</x:v>
      </x:c>
      <x:c r="H407" t="str">
        <x:v>https://s26.q4cdn.com/410417801/files/doc_financials/2025/AR/2026-Travelers-Annual-Report-Final.pdf</x:v>
      </x:c>
      <x:c r="I407" t="str">
        <x:v>https://www.sec.gov/Archives/edgar/data/86312/000008631226000065/0000086312-26-000065-index.htm</x:v>
      </x:c>
      <x:c r="J407" t="str">
        <x:v>94fc0b121687402eac9a025d2701d2fe93c0789143797961ad6faad1c6dcb5b6</x:v>
      </x:c>
    </x:row>
    <x:row r="408">
      <x:c r="A408" t="n">
        <x:v>2023</x:v>
      </x:c>
      <x:c r="B408" t="str">
        <x:v>fixed_maturity_sale_proceeds</x:v>
      </x:c>
      <x:c r="C408" s="1" t="n">
        <x:v>4981</x:v>
      </x:c>
      <x:c r="D408" t="str">
        <x:v>disclosed</x:v>
      </x:c>
      <x:c r="E408" t="str">
        <x:v>trv_ar_2025</x:v>
      </x:c>
      <x:c r="F408" t="n">
        <x:v>161</x:v>
      </x:c>
      <x:c r="G408" t="str">
        <x:v>2026-02-12</x:v>
      </x:c>
      <x:c r="H408" t="str">
        <x:v>https://s26.q4cdn.com/410417801/files/doc_financials/2025/AR/2026-Travelers-Annual-Report-Final.pdf</x:v>
      </x:c>
      <x:c r="I408" t="str">
        <x:v>https://www.sec.gov/Archives/edgar/data/86312/000008631226000065/0000086312-26-000065-index.htm</x:v>
      </x:c>
      <x:c r="J408" t="str">
        <x:v>94fc0b121687402eac9a025d2701d2fe93c0789143797961ad6faad1c6dcb5b6</x:v>
      </x:c>
    </x:row>
    <x:row r="409">
      <x:c r="A409" t="n">
        <x:v>2023</x:v>
      </x:c>
      <x:c r="B409" t="str">
        <x:v>general_admin</x:v>
      </x:c>
      <x:c r="C409" s="1" t="n">
        <x:v>5176</x:v>
      </x:c>
      <x:c r="D409" t="str">
        <x:v>disclosed</x:v>
      </x:c>
      <x:c r="E409" t="str">
        <x:v>trv_ar_2025</x:v>
      </x:c>
      <x:c r="F409" t="n">
        <x:v>157</x:v>
      </x:c>
      <x:c r="G409" t="str">
        <x:v>2026-02-12</x:v>
      </x:c>
      <x:c r="H409" t="str">
        <x:v>https://s26.q4cdn.com/410417801/files/doc_financials/2025/AR/2026-Travelers-Annual-Report-Final.pdf</x:v>
      </x:c>
      <x:c r="I409" t="str">
        <x:v>https://www.sec.gov/Archives/edgar/data/86312/000008631226000065/0000086312-26-000065-index.htm</x:v>
      </x:c>
      <x:c r="J409" t="str">
        <x:v>94fc0b121687402eac9a025d2701d2fe93c0789143797961ad6faad1c6dcb5b6</x:v>
      </x:c>
    </x:row>
    <x:row r="410">
      <x:c r="A410" t="n">
        <x:v>2023</x:v>
      </x:c>
      <x:c r="B410" t="str">
        <x:v>goodwill</x:v>
      </x:c>
      <x:c r="C410" s="1" t="n">
        <x:v>3976</x:v>
      </x:c>
      <x:c r="D410" t="str">
        <x:v>disclosed</x:v>
      </x:c>
      <x:c r="E410" t="str">
        <x:v>trv_ar_2023</x:v>
      </x:c>
      <x:c r="F410" t="n">
        <x:v>147</x:v>
      </x:c>
      <x:c r="G410" t="str">
        <x:v>2024-02-15</x:v>
      </x:c>
      <x:c r="H410" t="str">
        <x:v>https://s26.q4cdn.com/410417801/files/doc_financials/2023/ar/Travelers-2023-Annual__Report.pdf</x:v>
      </x:c>
      <x:c r="I410" t="str">
        <x:v>https://www.sec.gov/Archives/edgar/data/86312/000008631224000012/0000086312-24-000012-index.htm</x:v>
      </x:c>
      <x:c r="J410" t="str">
        <x:v>53f73eab62a87649bddd9402c5e9b9fb7087192b4df27a788f7b1189250829e3</x:v>
      </x:c>
    </x:row>
    <x:row r="411">
      <x:c r="A411" t="n">
        <x:v>2023</x:v>
      </x:c>
      <x:c r="B411" t="str">
        <x:v>gross_earned</x:v>
      </x:c>
      <x:c r="C411" s="1" t="n">
        <x:v>40410</x:v>
      </x:c>
      <x:c r="D411" t="str">
        <x:v>derived</x:v>
      </x:c>
      <x:c r="E411" t="str">
        <x:v>trv_ar_2025</x:v>
      </x:c>
      <x:c r="F411" t="n">
        <x:v>193</x:v>
      </x:c>
      <x:c r="G411" t="str">
        <x:v>2026-02-12</x:v>
      </x:c>
      <x:c r="H411" t="str">
        <x:v>https://s26.q4cdn.com/410417801/files/doc_financials/2025/AR/2026-Travelers-Annual-Report-Final.pdf</x:v>
      </x:c>
      <x:c r="I411" t="str">
        <x:v>https://www.sec.gov/Archives/edgar/data/86312/000008631226000065/0000086312-26-000065-index.htm</x:v>
      </x:c>
      <x:c r="J411" t="str">
        <x:v>94fc0b121687402eac9a025d2701d2fe93c0789143797961ad6faad1c6dcb5b6</x:v>
      </x:c>
    </x:row>
    <x:row r="412">
      <x:c r="A412" t="n">
        <x:v>2023</x:v>
      </x:c>
      <x:c r="B412" t="str">
        <x:v>gross_reserves</x:v>
      </x:c>
      <x:c r="C412" s="1" t="n">
        <x:v>61621</x:v>
      </x:c>
      <x:c r="D412" t="str">
        <x:v>disclosed</x:v>
      </x:c>
      <x:c r="E412" t="str">
        <x:v>trv_ar_2023</x:v>
      </x:c>
      <x:c r="F412" t="n">
        <x:v>181</x:v>
      </x:c>
      <x:c r="G412" t="str">
        <x:v>2024-02-15</x:v>
      </x:c>
      <x:c r="H412" t="str">
        <x:v>https://s26.q4cdn.com/410417801/files/doc_financials/2023/ar/Travelers-2023-Annual__Report.pdf</x:v>
      </x:c>
      <x:c r="I412" t="str">
        <x:v>https://www.sec.gov/Archives/edgar/data/86312/000008631224000012/0000086312-24-000012-index.htm</x:v>
      </x:c>
      <x:c r="J412" t="str">
        <x:v>53f73eab62a87649bddd9402c5e9b9fb7087192b4df27a788f7b1189250829e3</x:v>
      </x:c>
    </x:row>
    <x:row r="413">
      <x:c r="A413" t="n">
        <x:v>2023</x:v>
      </x:c>
      <x:c r="B413" t="str">
        <x:v>gross_upr</x:v>
      </x:c>
      <x:c r="C413" s="1" t="n">
        <x:v>20872</x:v>
      </x:c>
      <x:c r="D413" t="str">
        <x:v>disclosed</x:v>
      </x:c>
      <x:c r="E413" t="str">
        <x:v>trv_ar_2023</x:v>
      </x:c>
      <x:c r="F413" t="n">
        <x:v>147</x:v>
      </x:c>
      <x:c r="G413" t="str">
        <x:v>2024-02-15</x:v>
      </x:c>
      <x:c r="H413" t="str">
        <x:v>https://s26.q4cdn.com/410417801/files/doc_financials/2023/ar/Travelers-2023-Annual__Report.pdf</x:v>
      </x:c>
      <x:c r="I413" t="str">
        <x:v>https://www.sec.gov/Archives/edgar/data/86312/000008631224000012/0000086312-24-000012-index.htm</x:v>
      </x:c>
      <x:c r="J413" t="str">
        <x:v>53f73eab62a87649bddd9402c5e9b9fb7087192b4df27a788f7b1189250829e3</x:v>
      </x:c>
    </x:row>
    <x:row r="414">
      <x:c r="A414" t="n">
        <x:v>2023</x:v>
      </x:c>
      <x:c r="B414" t="str">
        <x:v>gwp</x:v>
      </x:c>
      <x:c r="C414" s="1" t="n">
        <x:v>42972</x:v>
      </x:c>
      <x:c r="D414" t="str">
        <x:v>derived</x:v>
      </x:c>
      <x:c r="E414" t="str">
        <x:v>trv_ar_2025</x:v>
      </x:c>
      <x:c r="F414" t="n">
        <x:v>193</x:v>
      </x:c>
      <x:c r="G414" t="str">
        <x:v>2026-02-12</x:v>
      </x:c>
      <x:c r="H414" t="str">
        <x:v>https://s26.q4cdn.com/410417801/files/doc_financials/2025/AR/2026-Travelers-Annual-Report-Final.pdf</x:v>
      </x:c>
      <x:c r="I414" t="str">
        <x:v>https://www.sec.gov/Archives/edgar/data/86312/000008631226000065/0000086312-26-000065-index.htm</x:v>
      </x:c>
      <x:c r="J414" t="str">
        <x:v>94fc0b121687402eac9a025d2701d2fe93c0789143797961ad6faad1c6dcb5b6</x:v>
      </x:c>
    </x:row>
    <x:row r="415">
      <x:c r="A415" t="n">
        <x:v>2023</x:v>
      </x:c>
      <x:c r="B415" t="str">
        <x:v>intangible_assets</x:v>
      </x:c>
      <x:c r="C415" s="1" t="n">
        <x:v>277</x:v>
      </x:c>
      <x:c r="D415" t="str">
        <x:v>disclosed</x:v>
      </x:c>
      <x:c r="E415" t="str">
        <x:v>trv_ar_2023</x:v>
      </x:c>
      <x:c r="F415" t="n">
        <x:v>147</x:v>
      </x:c>
      <x:c r="G415" t="str">
        <x:v>2024-02-15</x:v>
      </x:c>
      <x:c r="H415" t="str">
        <x:v>https://s26.q4cdn.com/410417801/files/doc_financials/2023/ar/Travelers-2023-Annual__Report.pdf</x:v>
      </x:c>
      <x:c r="I415" t="str">
        <x:v>https://www.sec.gov/Archives/edgar/data/86312/000008631224000012/0000086312-24-000012-index.htm</x:v>
      </x:c>
      <x:c r="J415" t="str">
        <x:v>53f73eab62a87649bddd9402c5e9b9fb7087192b4df27a788f7b1189250829e3</x:v>
      </x:c>
    </x:row>
    <x:row r="416">
      <x:c r="A416" t="n">
        <x:v>2023</x:v>
      </x:c>
      <x:c r="B416" t="str">
        <x:v>interest_expense</x:v>
      </x:c>
      <x:c r="C416" s="1" t="n">
        <x:v>376</x:v>
      </x:c>
      <x:c r="D416" t="str">
        <x:v>disclosed</x:v>
      </x:c>
      <x:c r="E416" t="str">
        <x:v>trv_ar_2025</x:v>
      </x:c>
      <x:c r="F416" t="n">
        <x:v>157</x:v>
      </x:c>
      <x:c r="G416" t="str">
        <x:v>2026-02-12</x:v>
      </x:c>
      <x:c r="H416" t="str">
        <x:v>https://s26.q4cdn.com/410417801/files/doc_financials/2025/AR/2026-Travelers-Annual-Report-Final.pdf</x:v>
      </x:c>
      <x:c r="I416" t="str">
        <x:v>https://www.sec.gov/Archives/edgar/data/86312/000008631226000065/0000086312-26-000065-index.htm</x:v>
      </x:c>
      <x:c r="J416" t="str">
        <x:v>94fc0b121687402eac9a025d2701d2fe93c0789143797961ad6faad1c6dcb5b6</x:v>
      </x:c>
    </x:row>
    <x:row r="417">
      <x:c r="A417" t="n">
        <x:v>2023</x:v>
      </x:c>
      <x:c r="B417" t="str">
        <x:v>investment_income</x:v>
      </x:c>
      <x:c r="C417" s="1" t="n">
        <x:v>2922</x:v>
      </x:c>
      <x:c r="D417" t="str">
        <x:v>disclosed</x:v>
      </x:c>
      <x:c r="E417" t="str">
        <x:v>trv_ar_2025</x:v>
      </x:c>
      <x:c r="F417" t="n">
        <x:v>157</x:v>
      </x:c>
      <x:c r="G417" t="str">
        <x:v>2026-02-12</x:v>
      </x:c>
      <x:c r="H417" t="str">
        <x:v>https://s26.q4cdn.com/410417801/files/doc_financials/2025/AR/2026-Travelers-Annual-Report-Final.pdf</x:v>
      </x:c>
      <x:c r="I417" t="str">
        <x:v>https://www.sec.gov/Archives/edgar/data/86312/000008631226000065/0000086312-26-000065-index.htm</x:v>
      </x:c>
      <x:c r="J417" t="str">
        <x:v>94fc0b121687402eac9a025d2701d2fe93c0789143797961ad6faad1c6dcb5b6</x:v>
      </x:c>
    </x:row>
    <x:row r="418">
      <x:c r="A418" t="n">
        <x:v>2023</x:v>
      </x:c>
      <x:c r="B418" t="str">
        <x:v>nep</x:v>
      </x:c>
      <x:c r="C418" s="1" t="n">
        <x:v>37761</x:v>
      </x:c>
      <x:c r="D418" t="str">
        <x:v>disclosed</x:v>
      </x:c>
      <x:c r="E418" t="str">
        <x:v>trv_ar_2025</x:v>
      </x:c>
      <x:c r="F418" t="n">
        <x:v>193</x:v>
      </x:c>
      <x:c r="G418" t="str">
        <x:v>2026-02-12</x:v>
      </x:c>
      <x:c r="H418" t="str">
        <x:v>https://s26.q4cdn.com/410417801/files/doc_financials/2025/AR/2026-Travelers-Annual-Report-Final.pdf</x:v>
      </x:c>
      <x:c r="I418" t="str">
        <x:v>https://www.sec.gov/Archives/edgar/data/86312/000008631226000065/0000086312-26-000065-index.htm</x:v>
      </x:c>
      <x:c r="J418" t="str">
        <x:v>94fc0b121687402eac9a025d2701d2fe93c0789143797961ad6faad1c6dcb5b6</x:v>
      </x:c>
    </x:row>
    <x:row r="419">
      <x:c r="A419" t="n">
        <x:v>2023</x:v>
      </x:c>
      <x:c r="B419" t="str">
        <x:v>net_income</x:v>
      </x:c>
      <x:c r="C419" s="1" t="n">
        <x:v>2991</x:v>
      </x:c>
      <x:c r="D419" t="str">
        <x:v>disclosed</x:v>
      </x:c>
      <x:c r="E419" t="str">
        <x:v>trv_ar_2025</x:v>
      </x:c>
      <x:c r="F419" t="n">
        <x:v>157</x:v>
      </x:c>
      <x:c r="G419" t="str">
        <x:v>2026-02-12</x:v>
      </x:c>
      <x:c r="H419" t="str">
        <x:v>https://s26.q4cdn.com/410417801/files/doc_financials/2025/AR/2026-Travelers-Annual-Report-Final.pdf</x:v>
      </x:c>
      <x:c r="I419" t="str">
        <x:v>https://www.sec.gov/Archives/edgar/data/86312/000008631226000065/0000086312-26-000065-index.htm</x:v>
      </x:c>
      <x:c r="J419" t="str">
        <x:v>94fc0b121687402eac9a025d2701d2fe93c0789143797961ad6faad1c6dcb5b6</x:v>
      </x:c>
    </x:row>
    <x:row r="420">
      <x:c r="A420" t="n">
        <x:v>2023</x:v>
      </x:c>
      <x:c r="B420" t="str">
        <x:v>net_reserves</x:v>
      </x:c>
      <x:c r="C420" s="1" t="n">
        <x:v>53804</x:v>
      </x:c>
      <x:c r="D420" t="str">
        <x:v>disclosed</x:v>
      </x:c>
      <x:c r="E420" t="str">
        <x:v>trv_ar_2023</x:v>
      </x:c>
      <x:c r="F420" t="n">
        <x:v>181</x:v>
      </x:c>
      <x:c r="G420" t="str">
        <x:v>2024-02-15</x:v>
      </x:c>
      <x:c r="H420" t="str">
        <x:v>https://s26.q4cdn.com/410417801/files/doc_financials/2023/ar/Travelers-2023-Annual__Report.pdf</x:v>
      </x:c>
      <x:c r="I420" t="str">
        <x:v>https://www.sec.gov/Archives/edgar/data/86312/000008631224000012/0000086312-24-000012-index.htm</x:v>
      </x:c>
      <x:c r="J420" t="str">
        <x:v>53f73eab62a87649bddd9402c5e9b9fb7087192b4df27a788f7b1189250829e3</x:v>
      </x:c>
    </x:row>
    <x:row r="421">
      <x:c r="A421" t="n">
        <x:v>2023</x:v>
      </x:c>
      <x:c r="B421" t="str">
        <x:v>net_upr</x:v>
      </x:c>
      <x:c r="C421" s="1" t="n">
        <x:v>19722</x:v>
      </x:c>
      <x:c r="D421" t="str">
        <x:v>derived</x:v>
      </x:c>
      <x:c r="E421" t="str">
        <x:v>trv_ar_2023</x:v>
      </x:c>
      <x:c r="F421" t="n">
        <x:v>147</x:v>
      </x:c>
      <x:c r="G421" t="str">
        <x:v>2024-02-15</x:v>
      </x:c>
      <x:c r="H421" t="str">
        <x:v>https://s26.q4cdn.com/410417801/files/doc_financials/2023/ar/Travelers-2023-Annual__Report.pdf</x:v>
      </x:c>
      <x:c r="I421" t="str">
        <x:v>https://www.sec.gov/Archives/edgar/data/86312/000008631224000012/0000086312-24-000012-index.htm</x:v>
      </x:c>
      <x:c r="J421" t="str">
        <x:v>53f73eab62a87649bddd9402c5e9b9fb7087192b4df27a788f7b1189250829e3</x:v>
      </x:c>
    </x:row>
    <x:row r="422">
      <x:c r="A422" t="n">
        <x:v>2023</x:v>
      </x:c>
      <x:c r="B422" t="str">
        <x:v>nwp</x:v>
      </x:c>
      <x:c r="C422" s="1" t="n">
        <x:v>40201</x:v>
      </x:c>
      <x:c r="D422" t="str">
        <x:v>disclosed</x:v>
      </x:c>
      <x:c r="E422" t="str">
        <x:v>trv_ar_2025</x:v>
      </x:c>
      <x:c r="F422" t="n">
        <x:v>193</x:v>
      </x:c>
      <x:c r="G422" t="str">
        <x:v>2026-02-12</x:v>
      </x:c>
      <x:c r="H422" t="str">
        <x:v>https://s26.q4cdn.com/410417801/files/doc_financials/2025/AR/2026-Travelers-Annual-Report-Final.pdf</x:v>
      </x:c>
      <x:c r="I422" t="str">
        <x:v>https://www.sec.gov/Archives/edgar/data/86312/000008631226000065/0000086312-26-000065-index.htm</x:v>
      </x:c>
      <x:c r="J422" t="str">
        <x:v>94fc0b121687402eac9a025d2701d2fe93c0789143797961ad6faad1c6dcb5b6</x:v>
      </x:c>
    </x:row>
    <x:row r="423">
      <x:c r="A423" t="n">
        <x:v>2023</x:v>
      </x:c>
      <x:c r="B423" t="str">
        <x:v>opening_equity</x:v>
      </x:c>
      <x:c r="C423" s="1" t="n">
        <x:v>21560</x:v>
      </x:c>
      <x:c r="D423" t="str">
        <x:v>derived</x:v>
      </x:c>
      <x:c r="E423" t="str">
        <x:v>trv_ar_2025</x:v>
      </x:c>
      <x:c r="F423" t="n">
        <x:v>160</x:v>
      </x:c>
      <x:c r="G423" t="str">
        <x:v>2026-02-12</x:v>
      </x:c>
      <x:c r="H423" t="str">
        <x:v>https://s26.q4cdn.com/410417801/files/doc_financials/2025/AR/2026-Travelers-Annual-Report-Final.pdf</x:v>
      </x:c>
      <x:c r="I423" t="str">
        <x:v>https://www.sec.gov/Archives/edgar/data/86312/000008631226000065/0000086312-26-000065-index.htm</x:v>
      </x:c>
      <x:c r="J423" t="str">
        <x:v>94fc0b121687402eac9a025d2701d2fe93c0789143797961ad6faad1c6dcb5b6</x:v>
      </x:c>
    </x:row>
    <x:row r="424">
      <x:c r="A424" t="n">
        <x:v>2023</x:v>
      </x:c>
      <x:c r="B424" t="str">
        <x:v>other_assets</x:v>
      </x:c>
      <x:c r="C424" s="1" t="n">
        <x:v>3943</x:v>
      </x:c>
      <x:c r="D424" t="str">
        <x:v>disclosed</x:v>
      </x:c>
      <x:c r="E424" t="str">
        <x:v>trv_ar_2023</x:v>
      </x:c>
      <x:c r="F424" t="n">
        <x:v>147</x:v>
      </x:c>
      <x:c r="G424" t="str">
        <x:v>2024-02-15</x:v>
      </x:c>
      <x:c r="H424" t="str">
        <x:v>https://s26.q4cdn.com/410417801/files/doc_financials/2023/ar/Travelers-2023-Annual__Report.pdf</x:v>
      </x:c>
      <x:c r="I424" t="str">
        <x:v>https://www.sec.gov/Archives/edgar/data/86312/000008631224000012/0000086312-24-000012-index.htm</x:v>
      </x:c>
      <x:c r="J424" t="str">
        <x:v>53f73eab62a87649bddd9402c5e9b9fb7087192b4df27a788f7b1189250829e3</x:v>
      </x:c>
    </x:row>
    <x:row r="425">
      <x:c r="A425" t="n">
        <x:v>2023</x:v>
      </x:c>
      <x:c r="B425" t="str">
        <x:v>other_investment_purchases</x:v>
      </x:c>
      <x:c r="C425" s="1" t="n">
        <x:v>495</x:v>
      </x:c>
      <x:c r="D425" t="str">
        <x:v>disclosed</x:v>
      </x:c>
      <x:c r="E425" t="str">
        <x:v>trv_ar_2025</x:v>
      </x:c>
      <x:c r="F425" t="n">
        <x:v>161</x:v>
      </x:c>
      <x:c r="G425" t="str">
        <x:v>2026-02-12</x:v>
      </x:c>
      <x:c r="H425" t="str">
        <x:v>https://s26.q4cdn.com/410417801/files/doc_financials/2025/AR/2026-Travelers-Annual-Report-Final.pdf</x:v>
      </x:c>
      <x:c r="I425" t="str">
        <x:v>https://www.sec.gov/Archives/edgar/data/86312/000008631226000065/0000086312-26-000065-index.htm</x:v>
      </x:c>
      <x:c r="J425" t="str">
        <x:v>94fc0b121687402eac9a025d2701d2fe93c0789143797961ad6faad1c6dcb5b6</x:v>
      </x:c>
    </x:row>
    <x:row r="426">
      <x:c r="A426" t="n">
        <x:v>2023</x:v>
      </x:c>
      <x:c r="B426" t="str">
        <x:v>other_investment_sale_proceeds</x:v>
      </x:c>
      <x:c r="C426" s="1" t="n">
        <x:v>255</x:v>
      </x:c>
      <x:c r="D426" t="str">
        <x:v>disclosed</x:v>
      </x:c>
      <x:c r="E426" t="str">
        <x:v>trv_ar_2025</x:v>
      </x:c>
      <x:c r="F426" t="n">
        <x:v>161</x:v>
      </x:c>
      <x:c r="G426" t="str">
        <x:v>2026-02-12</x:v>
      </x:c>
      <x:c r="H426" t="str">
        <x:v>https://s26.q4cdn.com/410417801/files/doc_financials/2025/AR/2026-Travelers-Annual-Report-Final.pdf</x:v>
      </x:c>
      <x:c r="I426" t="str">
        <x:v>https://www.sec.gov/Archives/edgar/data/86312/000008631226000065/0000086312-26-000065-index.htm</x:v>
      </x:c>
      <x:c r="J426" t="str">
        <x:v>94fc0b121687402eac9a025d2701d2fe93c0789143797961ad6faad1c6dcb5b6</x:v>
      </x:c>
    </x:row>
    <x:row r="427">
      <x:c r="A427" t="n">
        <x:v>2023</x:v>
      </x:c>
      <x:c r="B427" t="str">
        <x:v>other_investments</x:v>
      </x:c>
      <x:c r="C427" s="1" t="n">
        <x:v>4299</x:v>
      </x:c>
      <x:c r="D427" t="str">
        <x:v>disclosed</x:v>
      </x:c>
      <x:c r="E427" t="str">
        <x:v>trv_ar_2023</x:v>
      </x:c>
      <x:c r="F427" t="n">
        <x:v>147</x:v>
      </x:c>
      <x:c r="G427" t="str">
        <x:v>2024-02-15</x:v>
      </x:c>
      <x:c r="H427" t="str">
        <x:v>https://s26.q4cdn.com/410417801/files/doc_financials/2023/ar/Travelers-2023-Annual__Report.pdf</x:v>
      </x:c>
      <x:c r="I427" t="str">
        <x:v>https://www.sec.gov/Archives/edgar/data/86312/000008631224000012/0000086312-24-000012-index.htm</x:v>
      </x:c>
      <x:c r="J427" t="str">
        <x:v>53f73eab62a87649bddd9402c5e9b9fb7087192b4df27a788f7b1189250829e3</x:v>
      </x:c>
    </x:row>
    <x:row r="428">
      <x:c r="A428" t="n">
        <x:v>2023</x:v>
      </x:c>
      <x:c r="B428" t="str">
        <x:v>other_liabilities</x:v>
      </x:c>
      <x:c r="C428" s="1" t="n">
        <x:v>6740</x:v>
      </x:c>
      <x:c r="D428" t="str">
        <x:v>disclosed</x:v>
      </x:c>
      <x:c r="E428" t="str">
        <x:v>trv_ar_2023</x:v>
      </x:c>
      <x:c r="F428" t="n">
        <x:v>147</x:v>
      </x:c>
      <x:c r="G428" t="str">
        <x:v>2024-02-15</x:v>
      </x:c>
      <x:c r="H428" t="str">
        <x:v>https://s26.q4cdn.com/410417801/files/doc_financials/2023/ar/Travelers-2023-Annual__Report.pdf</x:v>
      </x:c>
      <x:c r="I428" t="str">
        <x:v>https://www.sec.gov/Archives/edgar/data/86312/000008631224000012/0000086312-24-000012-index.htm</x:v>
      </x:c>
      <x:c r="J428" t="str">
        <x:v>53f73eab62a87649bddd9402c5e9b9fb7087192b4df27a788f7b1189250829e3</x:v>
      </x:c>
    </x:row>
    <x:row r="429">
      <x:c r="A429" t="n">
        <x:v>2023</x:v>
      </x:c>
      <x:c r="B429" t="str">
        <x:v>other_revenue</x:v>
      </x:c>
      <x:c r="C429" s="1" t="n">
        <x:v>353</x:v>
      </x:c>
      <x:c r="D429" t="str">
        <x:v>disclosed</x:v>
      </x:c>
      <x:c r="E429" t="str">
        <x:v>trv_ar_2025</x:v>
      </x:c>
      <x:c r="F429" t="n">
        <x:v>157</x:v>
      </x:c>
      <x:c r="G429" t="str">
        <x:v>2026-02-12</x:v>
      </x:c>
      <x:c r="H429" t="str">
        <x:v>https://s26.q4cdn.com/410417801/files/doc_financials/2025/AR/2026-Travelers-Annual-Report-Final.pdf</x:v>
      </x:c>
      <x:c r="I429" t="str">
        <x:v>https://www.sec.gov/Archives/edgar/data/86312/000008631226000065/0000086312-26-000065-index.htm</x:v>
      </x:c>
      <x:c r="J429" t="str">
        <x:v>94fc0b121687402eac9a025d2701d2fe93c0789143797961ad6faad1c6dcb5b6</x:v>
      </x:c>
    </x:row>
    <x:row r="430">
      <x:c r="A430" t="n">
        <x:v>2023</x:v>
      </x:c>
      <x:c r="B430" t="str">
        <x:v>paid_current</x:v>
      </x:c>
      <x:c r="C430" s="1" t="n">
        <x:v>10852</x:v>
      </x:c>
      <x:c r="D430" t="str">
        <x:v>disclosed</x:v>
      </x:c>
      <x:c r="E430" t="str">
        <x:v>trv_ar_2023</x:v>
      </x:c>
      <x:c r="F430" t="n">
        <x:v>181</x:v>
      </x:c>
      <x:c r="G430" t="str">
        <x:v>2024-02-15</x:v>
      </x:c>
      <x:c r="H430" t="str">
        <x:v>https://s26.q4cdn.com/410417801/files/doc_financials/2023/ar/Travelers-2023-Annual__Report.pdf</x:v>
      </x:c>
      <x:c r="I430" t="str">
        <x:v>https://www.sec.gov/Archives/edgar/data/86312/000008631224000012/0000086312-24-000012-index.htm</x:v>
      </x:c>
      <x:c r="J430" t="str">
        <x:v>53f73eab62a87649bddd9402c5e9b9fb7087192b4df27a788f7b1189250829e3</x:v>
      </x:c>
    </x:row>
    <x:row r="431">
      <x:c r="A431" t="n">
        <x:v>2023</x:v>
      </x:c>
      <x:c r="B431" t="str">
        <x:v>paid_prior</x:v>
      </x:c>
      <x:c r="C431" s="1" t="n">
        <x:v>12424</x:v>
      </x:c>
      <x:c r="D431" t="str">
        <x:v>disclosed</x:v>
      </x:c>
      <x:c r="E431" t="str">
        <x:v>trv_ar_2023</x:v>
      </x:c>
      <x:c r="F431" t="n">
        <x:v>181</x:v>
      </x:c>
      <x:c r="G431" t="str">
        <x:v>2024-02-15</x:v>
      </x:c>
      <x:c r="H431" t="str">
        <x:v>https://s26.q4cdn.com/410417801/files/doc_financials/2023/ar/Travelers-2023-Annual__Report.pdf</x:v>
      </x:c>
      <x:c r="I431" t="str">
        <x:v>https://www.sec.gov/Archives/edgar/data/86312/000008631224000012/0000086312-24-000012-index.htm</x:v>
      </x:c>
      <x:c r="J431" t="str">
        <x:v>53f73eab62a87649bddd9402c5e9b9fb7087192b4df27a788f7b1189250829e3</x:v>
      </x:c>
    </x:row>
    <x:row r="432">
      <x:c r="A432" t="n">
        <x:v>2023</x:v>
      </x:c>
      <x:c r="B432" t="str">
        <x:v>premium_receivables</x:v>
      </x:c>
      <x:c r="C432" s="1" t="n">
        <x:v>10282</x:v>
      </x:c>
      <x:c r="D432" t="str">
        <x:v>disclosed</x:v>
      </x:c>
      <x:c r="E432" t="str">
        <x:v>trv_ar_2023</x:v>
      </x:c>
      <x:c r="F432" t="n">
        <x:v>147</x:v>
      </x:c>
      <x:c r="G432" t="str">
        <x:v>2024-02-15</x:v>
      </x:c>
      <x:c r="H432" t="str">
        <x:v>https://s26.q4cdn.com/410417801/files/doc_financials/2023/ar/Travelers-2023-Annual__Report.pdf</x:v>
      </x:c>
      <x:c r="I432" t="str">
        <x:v>https://www.sec.gov/Archives/edgar/data/86312/000008631224000012/0000086312-24-000012-index.htm</x:v>
      </x:c>
      <x:c r="J432" t="str">
        <x:v>53f73eab62a87649bddd9402c5e9b9fb7087192b4df27a788f7b1189250829e3</x:v>
      </x:c>
    </x:row>
    <x:row r="433">
      <x:c r="A433" t="n">
        <x:v>2023</x:v>
      </x:c>
      <x:c r="B433" t="str">
        <x:v>pretax_income</x:v>
      </x:c>
      <x:c r="C433" s="1" t="n">
        <x:v>3371</x:v>
      </x:c>
      <x:c r="D433" t="str">
        <x:v>disclosed</x:v>
      </x:c>
      <x:c r="E433" t="str">
        <x:v>trv_ar_2025</x:v>
      </x:c>
      <x:c r="F433" t="n">
        <x:v>157</x:v>
      </x:c>
      <x:c r="G433" t="str">
        <x:v>2026-02-12</x:v>
      </x:c>
      <x:c r="H433" t="str">
        <x:v>https://s26.q4cdn.com/410417801/files/doc_financials/2025/AR/2026-Travelers-Annual-Report-Final.pdf</x:v>
      </x:c>
      <x:c r="I433" t="str">
        <x:v>https://www.sec.gov/Archives/edgar/data/86312/000008631226000065/0000086312-26-000065-index.htm</x:v>
      </x:c>
      <x:c r="J433" t="str">
        <x:v>94fc0b121687402eac9a025d2701d2fe93c0789143797961ad6faad1c6dcb5b6</x:v>
      </x:c>
    </x:row>
    <x:row r="434">
      <x:c r="A434" t="n">
        <x:v>2023</x:v>
      </x:c>
      <x:c r="B434" t="str">
        <x:v>real_estate_investments</x:v>
      </x:c>
      <x:c r="C434" s="1" t="n">
        <x:v>959</x:v>
      </x:c>
      <x:c r="D434" t="str">
        <x:v>disclosed</x:v>
      </x:c>
      <x:c r="E434" t="str">
        <x:v>trv_ar_2023</x:v>
      </x:c>
      <x:c r="F434" t="n">
        <x:v>147</x:v>
      </x:c>
      <x:c r="G434" t="str">
        <x:v>2024-02-15</x:v>
      </x:c>
      <x:c r="H434" t="str">
        <x:v>https://s26.q4cdn.com/410417801/files/doc_financials/2023/ar/Travelers-2023-Annual__Report.pdf</x:v>
      </x:c>
      <x:c r="I434" t="str">
        <x:v>https://www.sec.gov/Archives/edgar/data/86312/000008631224000012/0000086312-24-000012-index.htm</x:v>
      </x:c>
      <x:c r="J434" t="str">
        <x:v>53f73eab62a87649bddd9402c5e9b9fb7087192b4df27a788f7b1189250829e3</x:v>
      </x:c>
    </x:row>
    <x:row r="435">
      <x:c r="A435" t="n">
        <x:v>2023</x:v>
      </x:c>
      <x:c r="B435" t="str">
        <x:v>real_estate_purchases</x:v>
      </x:c>
      <x:c r="C435" s="1" t="n">
        <x:v>67</x:v>
      </x:c>
      <x:c r="D435" t="str">
        <x:v>disclosed</x:v>
      </x:c>
      <x:c r="E435" t="str">
        <x:v>trv_ar_2025</x:v>
      </x:c>
      <x:c r="F435" t="n">
        <x:v>161</x:v>
      </x:c>
      <x:c r="G435" t="str">
        <x:v>2026-02-12</x:v>
      </x:c>
      <x:c r="H435" t="str">
        <x:v>https://s26.q4cdn.com/410417801/files/doc_financials/2025/AR/2026-Travelers-Annual-Report-Final.pdf</x:v>
      </x:c>
      <x:c r="I435" t="str">
        <x:v>https://www.sec.gov/Archives/edgar/data/86312/000008631226000065/0000086312-26-000065-index.htm</x:v>
      </x:c>
      <x:c r="J435" t="str">
        <x:v>94fc0b121687402eac9a025d2701d2fe93c0789143797961ad6faad1c6dcb5b6</x:v>
      </x:c>
    </x:row>
    <x:row r="436">
      <x:c r="A436" t="n">
        <x:v>2023</x:v>
      </x:c>
      <x:c r="B436" t="str">
        <x:v>real_estate_sale_proceeds</x:v>
      </x:c>
      <x:c r="C436" s="1" t="n">
        <x:v>0</x:v>
      </x:c>
      <x:c r="D436" t="str">
        <x:v>disclosed</x:v>
      </x:c>
      <x:c r="E436" t="str">
        <x:v>trv_ar_2025</x:v>
      </x:c>
      <x:c r="F436" t="n">
        <x:v>161</x:v>
      </x:c>
      <x:c r="G436" t="str">
        <x:v>2026-02-12</x:v>
      </x:c>
      <x:c r="H436" t="str">
        <x:v>https://s26.q4cdn.com/410417801/files/doc_financials/2025/AR/2026-Travelers-Annual-Report-Final.pdf</x:v>
      </x:c>
      <x:c r="I436" t="str">
        <x:v>https://www.sec.gov/Archives/edgar/data/86312/000008631226000065/0000086312-26-000065-index.htm</x:v>
      </x:c>
      <x:c r="J436" t="str">
        <x:v>94fc0b121687402eac9a025d2701d2fe93c0789143797961ad6faad1c6dcb5b6</x:v>
      </x:c>
    </x:row>
    <x:row r="437">
      <x:c r="A437" t="n">
        <x:v>2023</x:v>
      </x:c>
      <x:c r="B437" t="str">
        <x:v>realized_gains</x:v>
      </x:c>
      <x:c r="C437" s="1" t="n">
        <x:v>-105</x:v>
      </x:c>
      <x:c r="D437" t="str">
        <x:v>disclosed</x:v>
      </x:c>
      <x:c r="E437" t="str">
        <x:v>trv_ar_2025</x:v>
      </x:c>
      <x:c r="F437" t="n">
        <x:v>157</x:v>
      </x:c>
      <x:c r="G437" t="str">
        <x:v>2026-02-12</x:v>
      </x:c>
      <x:c r="H437" t="str">
        <x:v>https://s26.q4cdn.com/410417801/files/doc_financials/2025/AR/2026-Travelers-Annual-Report-Final.pdf</x:v>
      </x:c>
      <x:c r="I437" t="str">
        <x:v>https://www.sec.gov/Archives/edgar/data/86312/000008631226000065/0000086312-26-000065-index.htm</x:v>
      </x:c>
      <x:c r="J437" t="str">
        <x:v>94fc0b121687402eac9a025d2701d2fe93c0789143797961ad6faad1c6dcb5b6</x:v>
      </x:c>
    </x:row>
    <x:row r="438">
      <x:c r="A438" t="n">
        <x:v>2023</x:v>
      </x:c>
      <x:c r="B438" t="str">
        <x:v>reinsurance_premium_payables</x:v>
      </x:c>
      <x:c r="C438" s="1" t="n">
        <x:v>518</x:v>
      </x:c>
      <x:c r="D438" t="str">
        <x:v>disclosed</x:v>
      </x:c>
      <x:c r="E438" t="str">
        <x:v>trv_ar_2023</x:v>
      </x:c>
      <x:c r="F438" t="n">
        <x:v>147</x:v>
      </x:c>
      <x:c r="G438" t="str">
        <x:v>2024-02-15</x:v>
      </x:c>
      <x:c r="H438" t="str">
        <x:v>https://s26.q4cdn.com/410417801/files/doc_financials/2023/ar/Travelers-2023-Annual__Report.pdf</x:v>
      </x:c>
      <x:c r="I438" t="str">
        <x:v>https://www.sec.gov/Archives/edgar/data/86312/000008631224000012/0000086312-24-000012-index.htm</x:v>
      </x:c>
      <x:c r="J438" t="str">
        <x:v>53f73eab62a87649bddd9402c5e9b9fb7087192b4df27a788f7b1189250829e3</x:v>
      </x:c>
    </x:row>
    <x:row r="439">
      <x:c r="A439" t="n">
        <x:v>2023</x:v>
      </x:c>
      <x:c r="B439" t="str">
        <x:v>reported_opening_net_after_adoption</x:v>
      </x:c>
      <x:c r="C439" s="1" t="n">
        <x:v>50853</x:v>
      </x:c>
      <x:c r="D439" t="str">
        <x:v>disclosed</x:v>
      </x:c>
      <x:c r="E439" t="str">
        <x:v>trv_ar_2023</x:v>
      </x:c>
      <x:c r="F439" t="n">
        <x:v>181</x:v>
      </x:c>
      <x:c r="G439" t="str">
        <x:v>2024-02-15</x:v>
      </x:c>
      <x:c r="H439" t="str">
        <x:v>https://s26.q4cdn.com/410417801/files/doc_financials/2023/ar/Travelers-2023-Annual__Report.pdf</x:v>
      </x:c>
      <x:c r="I439" t="str">
        <x:v>https://www.sec.gov/Archives/edgar/data/86312/000008631224000012/0000086312-24-000012-index.htm</x:v>
      </x:c>
      <x:c r="J439" t="str">
        <x:v>53f73eab62a87649bddd9402c5e9b9fb7087192b4df27a788f7b1189250829e3</x:v>
      </x:c>
    </x:row>
    <x:row r="440">
      <x:c r="A440" t="n">
        <x:v>2023</x:v>
      </x:c>
      <x:c r="B440" t="str">
        <x:v>reported_total_incurred</x:v>
      </x:c>
      <x:c r="C440" s="1" t="n">
        <x:v>26121</x:v>
      </x:c>
      <x:c r="D440" t="str">
        <x:v>disclosed</x:v>
      </x:c>
      <x:c r="E440" t="str">
        <x:v>trv_ar_2023</x:v>
      </x:c>
      <x:c r="F440" t="n">
        <x:v>181</x:v>
      </x:c>
      <x:c r="G440" t="str">
        <x:v>2024-02-15</x:v>
      </x:c>
      <x:c r="H440" t="str">
        <x:v>https://s26.q4cdn.com/410417801/files/doc_financials/2023/ar/Travelers-2023-Annual__Report.pdf</x:v>
      </x:c>
      <x:c r="I440" t="str">
        <x:v>https://www.sec.gov/Archives/edgar/data/86312/000008631224000012/0000086312-24-000012-index.htm</x:v>
      </x:c>
      <x:c r="J440" t="str">
        <x:v>53f73eab62a87649bddd9402c5e9b9fb7087192b4df27a788f7b1189250829e3</x:v>
      </x:c>
    </x:row>
    <x:row r="441">
      <x:c r="A441" t="n">
        <x:v>2023</x:v>
      </x:c>
      <x:c r="B441" t="str">
        <x:v>reported_total_paid</x:v>
      </x:c>
      <x:c r="C441" s="1" t="n">
        <x:v>23276</x:v>
      </x:c>
      <x:c r="D441" t="str">
        <x:v>disclosed</x:v>
      </x:c>
      <x:c r="E441" t="str">
        <x:v>trv_ar_2023</x:v>
      </x:c>
      <x:c r="F441" t="n">
        <x:v>181</x:v>
      </x:c>
      <x:c r="G441" t="str">
        <x:v>2024-02-15</x:v>
      </x:c>
      <x:c r="H441" t="str">
        <x:v>https://s26.q4cdn.com/410417801/files/doc_financials/2023/ar/Travelers-2023-Annual__Report.pdf</x:v>
      </x:c>
      <x:c r="I441" t="str">
        <x:v>https://www.sec.gov/Archives/edgar/data/86312/000008631224000012/0000086312-24-000012-index.htm</x:v>
      </x:c>
      <x:c r="J441" t="str">
        <x:v>53f73eab62a87649bddd9402c5e9b9fb7087192b4df27a788f7b1189250829e3</x:v>
      </x:c>
    </x:row>
    <x:row r="442">
      <x:c r="A442" t="n">
        <x:v>2023</x:v>
      </x:c>
      <x:c r="B442" t="str">
        <x:v>reserve_fx_other</x:v>
      </x:c>
      <x:c r="C442" s="1" t="n">
        <x:v>106</x:v>
      </x:c>
      <x:c r="D442" t="str">
        <x:v>disclosed</x:v>
      </x:c>
      <x:c r="E442" t="str">
        <x:v>trv_ar_2023</x:v>
      </x:c>
      <x:c r="F442" t="n">
        <x:v>181</x:v>
      </x:c>
      <x:c r="G442" t="str">
        <x:v>2024-02-15</x:v>
      </x:c>
      <x:c r="H442" t="str">
        <x:v>https://s26.q4cdn.com/410417801/files/doc_financials/2023/ar/Travelers-2023-Annual__Report.pdf</x:v>
      </x:c>
      <x:c r="I442" t="str">
        <x:v>https://www.sec.gov/Archives/edgar/data/86312/000008631224000012/0000086312-24-000012-index.htm</x:v>
      </x:c>
      <x:c r="J442" t="str">
        <x:v>53f73eab62a87649bddd9402c5e9b9fb7087192b4df27a788f7b1189250829e3</x:v>
      </x:c>
    </x:row>
    <x:row r="443">
      <x:c r="A443" t="n">
        <x:v>2023</x:v>
      </x:c>
      <x:c r="B443" t="str">
        <x:v>reserve_prior_incurred</x:v>
      </x:c>
      <x:c r="C443" s="1" t="n">
        <x:v>-38</x:v>
      </x:c>
      <x:c r="D443" t="str">
        <x:v>disclosed</x:v>
      </x:c>
      <x:c r="E443" t="str">
        <x:v>trv_ar_2023</x:v>
      </x:c>
      <x:c r="F443" t="n">
        <x:v>181</x:v>
      </x:c>
      <x:c r="G443" t="str">
        <x:v>2024-02-15</x:v>
      </x:c>
      <x:c r="H443" t="str">
        <x:v>https://s26.q4cdn.com/410417801/files/doc_financials/2023/ar/Travelers-2023-Annual__Report.pdf</x:v>
      </x:c>
      <x:c r="I443" t="str">
        <x:v>https://www.sec.gov/Archives/edgar/data/86312/000008631224000012/0000086312-24-000012-index.htm</x:v>
      </x:c>
      <x:c r="J443" t="str">
        <x:v>53f73eab62a87649bddd9402c5e9b9fb7087192b4df27a788f7b1189250829e3</x:v>
      </x:c>
    </x:row>
    <x:row r="444">
      <x:c r="A444" t="n">
        <x:v>2023</x:v>
      </x:c>
      <x:c r="B444" t="str">
        <x:v>reserve_total_incurred</x:v>
      </x:c>
      <x:c r="C444" s="1" t="n">
        <x:v>26121</x:v>
      </x:c>
      <x:c r="D444" t="str">
        <x:v>derived</x:v>
      </x:c>
      <x:c r="E444" t="str">
        <x:v>trv_ar_2023</x:v>
      </x:c>
      <x:c r="F444" t="n">
        <x:v>181</x:v>
      </x:c>
      <x:c r="G444" t="str">
        <x:v>2024-02-15</x:v>
      </x:c>
      <x:c r="H444" t="str">
        <x:v>https://s26.q4cdn.com/410417801/files/doc_financials/2023/ar/Travelers-2023-Annual__Report.pdf</x:v>
      </x:c>
      <x:c r="I444" t="str">
        <x:v>https://www.sec.gov/Archives/edgar/data/86312/000008631224000012/0000086312-24-000012-index.htm</x:v>
      </x:c>
      <x:c r="J444" t="str">
        <x:v>53f73eab62a87649bddd9402c5e9b9fb7087192b4df27a788f7b1189250829e3</x:v>
      </x:c>
    </x:row>
    <x:row r="445">
      <x:c r="A445" t="n">
        <x:v>2023</x:v>
      </x:c>
      <x:c r="B445" t="str">
        <x:v>retained_earnings</x:v>
      </x:c>
      <x:c r="C445" s="1" t="n">
        <x:v>45591</x:v>
      </x:c>
      <x:c r="D445" t="str">
        <x:v>disclosed</x:v>
      </x:c>
      <x:c r="E445" t="str">
        <x:v>trv_ar_2023</x:v>
      </x:c>
      <x:c r="F445" t="n">
        <x:v>147</x:v>
      </x:c>
      <x:c r="G445" t="str">
        <x:v>2024-02-15</x:v>
      </x:c>
      <x:c r="H445" t="str">
        <x:v>https://s26.q4cdn.com/410417801/files/doc_financials/2023/ar/Travelers-2023-Annual__Report.pdf</x:v>
      </x:c>
      <x:c r="I445" t="str">
        <x:v>https://www.sec.gov/Archives/edgar/data/86312/000008631224000012/0000086312-24-000012-index.htm</x:v>
      </x:c>
      <x:c r="J445" t="str">
        <x:v>53f73eab62a87649bddd9402c5e9b9fb7087192b4df27a788f7b1189250829e3</x:v>
      </x:c>
    </x:row>
    <x:row r="446">
      <x:c r="A446" t="n">
        <x:v>2023</x:v>
      </x:c>
      <x:c r="B446" t="str">
        <x:v>retained_earnings_other</x:v>
      </x:c>
      <x:c r="C446" s="1" t="n">
        <x:v>-1</x:v>
      </x:c>
      <x:c r="D446" t="str">
        <x:v>disclosed</x:v>
      </x:c>
      <x:c r="E446" t="str">
        <x:v>trv_ar_2025</x:v>
      </x:c>
      <x:c r="F446" t="n">
        <x:v>160</x:v>
      </x:c>
      <x:c r="G446" t="str">
        <x:v>2026-02-12</x:v>
      </x:c>
      <x:c r="H446" t="str">
        <x:v>https://s26.q4cdn.com/410417801/files/doc_financials/2025/AR/2026-Travelers-Annual-Report-Final.pdf</x:v>
      </x:c>
      <x:c r="I446" t="str">
        <x:v>https://www.sec.gov/Archives/edgar/data/86312/000008631226000065/0000086312-26-000065-index.htm</x:v>
      </x:c>
      <x:c r="J446" t="str">
        <x:v>94fc0b121687402eac9a025d2701d2fe93c0789143797961ad6faad1c6dcb5b6</x:v>
      </x:c>
    </x:row>
    <x:row r="447">
      <x:c r="A447" t="n">
        <x:v>2023</x:v>
      </x:c>
      <x:c r="B447" t="str">
        <x:v>share_buybacks_cash</x:v>
      </x:c>
      <x:c r="C447" s="1" t="n">
        <x:v>958</x:v>
      </x:c>
      <x:c r="D447" t="str">
        <x:v>disclosed</x:v>
      </x:c>
      <x:c r="E447" t="str">
        <x:v>trv_ar_2025</x:v>
      </x:c>
      <x:c r="F447" t="n">
        <x:v>161</x:v>
      </x:c>
      <x:c r="G447" t="str">
        <x:v>2026-02-12</x:v>
      </x:c>
      <x:c r="H447" t="str">
        <x:v>https://s26.q4cdn.com/410417801/files/doc_financials/2025/AR/2026-Travelers-Annual-Report-Final.pdf</x:v>
      </x:c>
      <x:c r="I447" t="str">
        <x:v>https://www.sec.gov/Archives/edgar/data/86312/000008631226000065/0000086312-26-000065-index.htm</x:v>
      </x:c>
      <x:c r="J447" t="str">
        <x:v>94fc0b121687402eac9a025d2701d2fe93c0789143797961ad6faad1c6dcb5b6</x:v>
      </x:c>
    </x:row>
    <x:row r="448">
      <x:c r="A448" t="n">
        <x:v>2023</x:v>
      </x:c>
      <x:c r="B448" t="str">
        <x:v>short_term_investments</x:v>
      </x:c>
      <x:c r="C448" s="1" t="n">
        <x:v>5137</x:v>
      </x:c>
      <x:c r="D448" t="str">
        <x:v>disclosed</x:v>
      </x:c>
      <x:c r="E448" t="str">
        <x:v>trv_ar_2023</x:v>
      </x:c>
      <x:c r="F448" t="n">
        <x:v>147</x:v>
      </x:c>
      <x:c r="G448" t="str">
        <x:v>2024-02-15</x:v>
      </x:c>
      <x:c r="H448" t="str">
        <x:v>https://s26.q4cdn.com/410417801/files/doc_financials/2023/ar/Travelers-2023-Annual__Report.pdf</x:v>
      </x:c>
      <x:c r="I448" t="str">
        <x:v>https://www.sec.gov/Archives/edgar/data/86312/000008631224000012/0000086312-24-000012-index.htm</x:v>
      </x:c>
      <x:c r="J448" t="str">
        <x:v>53f73eab62a87649bddd9402c5e9b9fb7087192b4df27a788f7b1189250829e3</x:v>
      </x:c>
    </x:row>
    <x:row r="449">
      <x:c r="A449" t="n">
        <x:v>2023</x:v>
      </x:c>
      <x:c r="B449" t="str">
        <x:v>short_term_net_sales</x:v>
      </x:c>
      <x:c r="C449" s="1" t="n">
        <x:v>-1664</x:v>
      </x:c>
      <x:c r="D449" t="str">
        <x:v>disclosed</x:v>
      </x:c>
      <x:c r="E449" t="str">
        <x:v>trv_ar_2025</x:v>
      </x:c>
      <x:c r="F449" t="n">
        <x:v>161</x:v>
      </x:c>
      <x:c r="G449" t="str">
        <x:v>2026-02-12</x:v>
      </x:c>
      <x:c r="H449" t="str">
        <x:v>https://s26.q4cdn.com/410417801/files/doc_financials/2025/AR/2026-Travelers-Annual-Report-Final.pdf</x:v>
      </x:c>
      <x:c r="I449" t="str">
        <x:v>https://www.sec.gov/Archives/edgar/data/86312/000008631226000065/0000086312-26-000065-index.htm</x:v>
      </x:c>
      <x:c r="J449" t="str">
        <x:v>94fc0b121687402eac9a025d2701d2fe93c0789143797961ad6faad1c6dcb5b6</x:v>
      </x:c>
    </x:row>
    <x:row r="450">
      <x:c r="A450" t="n">
        <x:v>2023</x:v>
      </x:c>
      <x:c r="B450" t="str">
        <x:v>stock_comp_and_other_equity</x:v>
      </x:c>
      <x:c r="C450" s="1" t="n">
        <x:v>216</x:v>
      </x:c>
      <x:c r="D450" t="str">
        <x:v>disclosed</x:v>
      </x:c>
      <x:c r="E450" t="str">
        <x:v>trv_ar_2025</x:v>
      </x:c>
      <x:c r="F450" t="n">
        <x:v>160</x:v>
      </x:c>
      <x:c r="G450" t="str">
        <x:v>2026-02-12</x:v>
      </x:c>
      <x:c r="H450" t="str">
        <x:v>https://s26.q4cdn.com/410417801/files/doc_financials/2025/AR/2026-Travelers-Annual-Report-Final.pdf</x:v>
      </x:c>
      <x:c r="I450" t="str">
        <x:v>https://www.sec.gov/Archives/edgar/data/86312/000008631226000065/0000086312-26-000065-index.htm</x:v>
      </x:c>
      <x:c r="J450" t="str">
        <x:v>94fc0b121687402eac9a025d2701d2fe93c0789143797961ad6faad1c6dcb5b6</x:v>
      </x:c>
    </x:row>
    <x:row r="451">
      <x:c r="A451" t="n">
        <x:v>2023</x:v>
      </x:c>
      <x:c r="B451" t="str">
        <x:v>tax_expense</x:v>
      </x:c>
      <x:c r="C451" s="1" t="n">
        <x:v>380</x:v>
      </x:c>
      <x:c r="D451" t="str">
        <x:v>disclosed</x:v>
      </x:c>
      <x:c r="E451" t="str">
        <x:v>trv_ar_2025</x:v>
      </x:c>
      <x:c r="F451" t="n">
        <x:v>157</x:v>
      </x:c>
      <x:c r="G451" t="str">
        <x:v>2026-02-12</x:v>
      </x:c>
      <x:c r="H451" t="str">
        <x:v>https://s26.q4cdn.com/410417801/files/doc_financials/2025/AR/2026-Travelers-Annual-Report-Final.pdf</x:v>
      </x:c>
      <x:c r="I451" t="str">
        <x:v>https://www.sec.gov/Archives/edgar/data/86312/000008631226000065/0000086312-26-000065-index.htm</x:v>
      </x:c>
      <x:c r="J451" t="str">
        <x:v>94fc0b121687402eac9a025d2701d2fe93c0789143797961ad6faad1c6dcb5b6</x:v>
      </x:c>
    </x:row>
    <x:row r="452">
      <x:c r="A452" t="n">
        <x:v>2023</x:v>
      </x:c>
      <x:c r="B452" t="str">
        <x:v>total_assets</x:v>
      </x:c>
      <x:c r="C452" s="1" t="n">
        <x:v>125978</x:v>
      </x:c>
      <x:c r="D452" t="str">
        <x:v>disclosed</x:v>
      </x:c>
      <x:c r="E452" t="str">
        <x:v>trv_ar_2023</x:v>
      </x:c>
      <x:c r="F452" t="n">
        <x:v>147</x:v>
      </x:c>
      <x:c r="G452" t="str">
        <x:v>2024-02-15</x:v>
      </x:c>
      <x:c r="H452" t="str">
        <x:v>https://s26.q4cdn.com/410417801/files/doc_financials/2023/ar/Travelers-2023-Annual__Report.pdf</x:v>
      </x:c>
      <x:c r="I452" t="str">
        <x:v>https://www.sec.gov/Archives/edgar/data/86312/000008631224000012/0000086312-24-000012-index.htm</x:v>
      </x:c>
      <x:c r="J452" t="str">
        <x:v>53f73eab62a87649bddd9402c5e9b9fb7087192b4df27a788f7b1189250829e3</x:v>
      </x:c>
    </x:row>
    <x:row r="453">
      <x:c r="A453" t="n">
        <x:v>2023</x:v>
      </x:c>
      <x:c r="B453" t="str">
        <x:v>total_expenses</x:v>
      </x:c>
      <x:c r="C453" s="1" t="n">
        <x:v>37993</x:v>
      </x:c>
      <x:c r="D453" t="str">
        <x:v>disclosed</x:v>
      </x:c>
      <x:c r="E453" t="str">
        <x:v>trv_ar_2025</x:v>
      </x:c>
      <x:c r="F453" t="n">
        <x:v>157</x:v>
      </x:c>
      <x:c r="G453" t="str">
        <x:v>2026-02-12</x:v>
      </x:c>
      <x:c r="H453" t="str">
        <x:v>https://s26.q4cdn.com/410417801/files/doc_financials/2025/AR/2026-Travelers-Annual-Report-Final.pdf</x:v>
      </x:c>
      <x:c r="I453" t="str">
        <x:v>https://www.sec.gov/Archives/edgar/data/86312/000008631226000065/0000086312-26-000065-index.htm</x:v>
      </x:c>
      <x:c r="J453" t="str">
        <x:v>94fc0b121687402eac9a025d2701d2fe93c0789143797961ad6faad1c6dcb5b6</x:v>
      </x:c>
    </x:row>
    <x:row r="454">
      <x:c r="A454" t="n">
        <x:v>2023</x:v>
      </x:c>
      <x:c r="B454" t="str">
        <x:v>total_investments</x:v>
      </x:c>
      <x:c r="C454" s="1" t="n">
        <x:v>88810</x:v>
      </x:c>
      <x:c r="D454" t="str">
        <x:v>disclosed</x:v>
      </x:c>
      <x:c r="E454" t="str">
        <x:v>trv_ar_2023</x:v>
      </x:c>
      <x:c r="F454" t="n">
        <x:v>147</x:v>
      </x:c>
      <x:c r="G454" t="str">
        <x:v>2024-02-15</x:v>
      </x:c>
      <x:c r="H454" t="str">
        <x:v>https://s26.q4cdn.com/410417801/files/doc_financials/2023/ar/Travelers-2023-Annual__Report.pdf</x:v>
      </x:c>
      <x:c r="I454" t="str">
        <x:v>https://www.sec.gov/Archives/edgar/data/86312/000008631224000012/0000086312-24-000012-index.htm</x:v>
      </x:c>
      <x:c r="J454" t="str">
        <x:v>53f73eab62a87649bddd9402c5e9b9fb7087192b4df27a788f7b1189250829e3</x:v>
      </x:c>
    </x:row>
    <x:row r="455">
      <x:c r="A455" t="n">
        <x:v>2023</x:v>
      </x:c>
      <x:c r="B455" t="str">
        <x:v>total_liabilities</x:v>
      </x:c>
      <x:c r="C455" s="1" t="n">
        <x:v>101057</x:v>
      </x:c>
      <x:c r="D455" t="str">
        <x:v>disclosed</x:v>
      </x:c>
      <x:c r="E455" t="str">
        <x:v>trv_ar_2023</x:v>
      </x:c>
      <x:c r="F455" t="n">
        <x:v>147</x:v>
      </x:c>
      <x:c r="G455" t="str">
        <x:v>2024-02-15</x:v>
      </x:c>
      <x:c r="H455" t="str">
        <x:v>https://s26.q4cdn.com/410417801/files/doc_financials/2023/ar/Travelers-2023-Annual__Report.pdf</x:v>
      </x:c>
      <x:c r="I455" t="str">
        <x:v>https://www.sec.gov/Archives/edgar/data/86312/000008631224000012/0000086312-24-000012-index.htm</x:v>
      </x:c>
      <x:c r="J455" t="str">
        <x:v>53f73eab62a87649bddd9402c5e9b9fb7087192b4df27a788f7b1189250829e3</x:v>
      </x:c>
    </x:row>
    <x:row r="456">
      <x:c r="A456" t="n">
        <x:v>2023</x:v>
      </x:c>
      <x:c r="B456" t="str">
        <x:v>total_oci</x:v>
      </x:c>
      <x:c r="C456" s="1" t="n">
        <x:v>1974</x:v>
      </x:c>
      <x:c r="D456" t="str">
        <x:v>disclosed</x:v>
      </x:c>
      <x:c r="E456" t="str">
        <x:v>trv_ar_2025</x:v>
      </x:c>
      <x:c r="F456" t="n">
        <x:v>160</x:v>
      </x:c>
      <x:c r="G456" t="str">
        <x:v>2026-02-12</x:v>
      </x:c>
      <x:c r="H456" t="str">
        <x:v>https://s26.q4cdn.com/410417801/files/doc_financials/2025/AR/2026-Travelers-Annual-Report-Final.pdf</x:v>
      </x:c>
      <x:c r="I456" t="str">
        <x:v>https://www.sec.gov/Archives/edgar/data/86312/000008631226000065/0000086312-26-000065-index.htm</x:v>
      </x:c>
      <x:c r="J456" t="str">
        <x:v>94fc0b121687402eac9a025d2701d2fe93c0789143797961ad6faad1c6dcb5b6</x:v>
      </x:c>
    </x:row>
    <x:row r="457">
      <x:c r="A457" t="n">
        <x:v>2023</x:v>
      </x:c>
      <x:c r="B457" t="str">
        <x:v>total_recoverables</x:v>
      </x:c>
      <x:c r="C457" s="1" t="n">
        <x:v>8143</x:v>
      </x:c>
      <x:c r="D457" t="str">
        <x:v>disclosed</x:v>
      </x:c>
      <x:c r="E457" t="str">
        <x:v>trv_ar_2023</x:v>
      </x:c>
      <x:c r="F457" t="n">
        <x:v>147</x:v>
      </x:c>
      <x:c r="G457" t="str">
        <x:v>2024-02-15</x:v>
      </x:c>
      <x:c r="H457" t="str">
        <x:v>https://s26.q4cdn.com/410417801/files/doc_financials/2023/ar/Travelers-2023-Annual__Report.pdf</x:v>
      </x:c>
      <x:c r="I457" t="str">
        <x:v>https://www.sec.gov/Archives/edgar/data/86312/000008631224000012/0000086312-24-000012-index.htm</x:v>
      </x:c>
      <x:c r="J457" t="str">
        <x:v>53f73eab62a87649bddd9402c5e9b9fb7087192b4df27a788f7b1189250829e3</x:v>
      </x:c>
    </x:row>
    <x:row r="458">
      <x:c r="A458" t="n">
        <x:v>2023</x:v>
      </x:c>
      <x:c r="B458" t="str">
        <x:v>total_revenue</x:v>
      </x:c>
      <x:c r="C458" s="1" t="n">
        <x:v>41364</x:v>
      </x:c>
      <x:c r="D458" t="str">
        <x:v>disclosed</x:v>
      </x:c>
      <x:c r="E458" t="str">
        <x:v>trv_ar_2025</x:v>
      </x:c>
      <x:c r="F458" t="n">
        <x:v>157</x:v>
      </x:c>
      <x:c r="G458" t="str">
        <x:v>2026-02-12</x:v>
      </x:c>
      <x:c r="H458" t="str">
        <x:v>https://s26.q4cdn.com/410417801/files/doc_financials/2025/AR/2026-Travelers-Annual-Report-Final.pdf</x:v>
      </x:c>
      <x:c r="I458" t="str">
        <x:v>https://www.sec.gov/Archives/edgar/data/86312/000008631226000065/0000086312-26-000065-index.htm</x:v>
      </x:c>
      <x:c r="J458" t="str">
        <x:v>94fc0b121687402eac9a025d2701d2fe93c0789143797961ad6faad1c6dcb5b6</x:v>
      </x:c>
    </x:row>
    <x:row r="459">
      <x:c r="A459" t="n">
        <x:v>2023</x:v>
      </x:c>
      <x:c r="B459" t="str">
        <x:v>treasury_stock</x:v>
      </x:c>
      <x:c r="C459" s="1" t="n">
        <x:v>-41105</x:v>
      </x:c>
      <x:c r="D459" t="str">
        <x:v>disclosed</x:v>
      </x:c>
      <x:c r="E459" t="str">
        <x:v>trv_ar_2023</x:v>
      </x:c>
      <x:c r="F459" t="n">
        <x:v>147</x:v>
      </x:c>
      <x:c r="G459" t="str">
        <x:v>2024-02-15</x:v>
      </x:c>
      <x:c r="H459" t="str">
        <x:v>https://s26.q4cdn.com/410417801/files/doc_financials/2023/ar/Travelers-2023-Annual__Report.pdf</x:v>
      </x:c>
      <x:c r="I459" t="str">
        <x:v>https://www.sec.gov/Archives/edgar/data/86312/000008631224000012/0000086312-24-000012-index.htm</x:v>
      </x:c>
      <x:c r="J459" t="str">
        <x:v>53f73eab62a87649bddd9402c5e9b9fb7087192b4df27a788f7b1189250829e3</x:v>
      </x:c>
    </x:row>
    <x:row r="460">
      <x:c r="A460" t="n">
        <x:v>2023</x:v>
      </x:c>
      <x:c r="B460" t="str">
        <x:v>unpaid_recoverables</x:v>
      </x:c>
      <x:c r="C460" s="1" t="n">
        <x:v>7817</x:v>
      </x:c>
      <x:c r="D460" t="str">
        <x:v>disclosed</x:v>
      </x:c>
      <x:c r="E460" t="str">
        <x:v>trv_ar_2023</x:v>
      </x:c>
      <x:c r="F460" t="n">
        <x:v>181</x:v>
      </x:c>
      <x:c r="G460" t="str">
        <x:v>2024-02-15</x:v>
      </x:c>
      <x:c r="H460" t="str">
        <x:v>https://s26.q4cdn.com/410417801/files/doc_financials/2023/ar/Travelers-2023-Annual__Report.pdf</x:v>
      </x:c>
      <x:c r="I460" t="str">
        <x:v>https://www.sec.gov/Archives/edgar/data/86312/000008631224000012/0000086312-24-000012-index.htm</x:v>
      </x:c>
      <x:c r="J460" t="str">
        <x:v>53f73eab62a87649bddd9402c5e9b9fb7087192b4df27a788f7b1189250829e3</x:v>
      </x:c>
    </x:row>
    <x:row r="461">
      <x:c r="A461" t="n">
        <x:v>2024</x:v>
      </x:c>
      <x:c r="B461" t="str">
        <x:v>accrued_investment_income</x:v>
      </x:c>
      <x:c r="C461" s="1" t="n">
        <x:v>752</x:v>
      </x:c>
      <x:c r="D461" t="str">
        <x:v>disclosed</x:v>
      </x:c>
      <x:c r="E461" t="str">
        <x:v>trv_ar_2024</x:v>
      </x:c>
      <x:c r="F461" t="n">
        <x:v>150</x:v>
      </x:c>
      <x:c r="G461" t="str">
        <x:v>2025-02-13</x:v>
      </x:c>
      <x:c r="H461" t="str">
        <x:v>https://s26.q4cdn.com/410417801/files/doc_financials/2024/ar/v2/Travelers-2024-Annual-Report.pdf</x:v>
      </x:c>
      <x:c r="I461" t="str">
        <x:v>https://www.sec.gov/Archives/edgar/data/86312/000008631225000012/0000086312-25-000012-index.htm</x:v>
      </x:c>
      <x:c r="J461" t="str">
        <x:v>7a58a170cab4531d8e58266b98dbf26cba66bbe16c9a692c771f415a4c49d65c</x:v>
      </x:c>
    </x:row>
    <x:row r="462">
      <x:c r="A462" t="n">
        <x:v>2024</x:v>
      </x:c>
      <x:c r="B462" t="str">
        <x:v>adoption_change</x:v>
      </x:c>
      <x:c r="C462" s="1" t="n">
        <x:v>0</x:v>
      </x:c>
      <x:c r="D462" t="str">
        <x:v>disclosed</x:v>
      </x:c>
      <x:c r="E462" t="str">
        <x:v>trv_ar_2025</x:v>
      </x:c>
      <x:c r="F462" t="n">
        <x:v>195</x:v>
      </x:c>
      <x:c r="G462" t="str">
        <x:v>2026-02-12</x:v>
      </x:c>
      <x:c r="H462" t="str">
        <x:v>https://s26.q4cdn.com/410417801/files/doc_financials/2025/AR/2026-Travelers-Annual-Report-Final.pdf</x:v>
      </x:c>
      <x:c r="I462" t="str">
        <x:v>https://www.sec.gov/Archives/edgar/data/86312/000008631226000065/0000086312-26-000065-index.htm</x:v>
      </x:c>
      <x:c r="J462" t="str">
        <x:v>94fc0b121687402eac9a025d2701d2fe93c0789143797961ad6faad1c6dcb5b6</x:v>
      </x:c>
    </x:row>
    <x:row r="463">
      <x:c r="A463" t="n">
        <x:v>2024</x:v>
      </x:c>
      <x:c r="B463" t="str">
        <x:v>adoption_equity</x:v>
      </x:c>
      <x:c r="C463" s="1" t="n">
        <x:v>0</x:v>
      </x:c>
      <x:c r="D463" t="str">
        <x:v>disclosed</x:v>
      </x:c>
      <x:c r="E463" t="str">
        <x:v>trv_ar_2025</x:v>
      </x:c>
      <x:c r="F463" t="n">
        <x:v>160</x:v>
      </x:c>
      <x:c r="G463" t="str">
        <x:v>2026-02-12</x:v>
      </x:c>
      <x:c r="H463" t="str">
        <x:v>https://s26.q4cdn.com/410417801/files/doc_financials/2025/AR/2026-Travelers-Annual-Report-Final.pdf</x:v>
      </x:c>
      <x:c r="I463" t="str">
        <x:v>https://www.sec.gov/Archives/edgar/data/86312/000008631226000065/0000086312-26-000065-index.htm</x:v>
      </x:c>
      <x:c r="J463" t="str">
        <x:v>94fc0b121687402eac9a025d2701d2fe93c0789143797961ad6faad1c6dcb5b6</x:v>
      </x:c>
    </x:row>
    <x:row r="464">
      <x:c r="A464" t="n">
        <x:v>2024</x:v>
      </x:c>
      <x:c r="B464" t="str">
        <x:v>aoci</x:v>
      </x:c>
      <x:c r="C464" s="1" t="n">
        <x:v>-4967</x:v>
      </x:c>
      <x:c r="D464" t="str">
        <x:v>disclosed</x:v>
      </x:c>
      <x:c r="E464" t="str">
        <x:v>trv_ar_2025</x:v>
      </x:c>
      <x:c r="F464" t="n">
        <x:v>159</x:v>
      </x:c>
      <x:c r="G464" t="str">
        <x:v>2026-02-12</x:v>
      </x:c>
      <x:c r="H464" t="str">
        <x:v>https://s26.q4cdn.com/410417801/files/doc_financials/2025/AR/2026-Travelers-Annual-Report-Final.pdf</x:v>
      </x:c>
      <x:c r="I464" t="str">
        <x:v>https://www.sec.gov/Archives/edgar/data/86312/000008631226000065/0000086312-26-000065-index.htm</x:v>
      </x:c>
      <x:c r="J464" t="str">
        <x:v>94fc0b121687402eac9a025d2701d2fe93c0789143797961ad6faad1c6dcb5b6</x:v>
      </x:c>
    </x:row>
    <x:row r="465">
      <x:c r="A465" t="n">
        <x:v>2024</x:v>
      </x:c>
      <x:c r="B465" t="str">
        <x:v>assumed_earned</x:v>
      </x:c>
      <x:c r="C465" s="1" t="n">
        <x:v>2095</x:v>
      </x:c>
      <x:c r="D465" t="str">
        <x:v>disclosed</x:v>
      </x:c>
      <x:c r="E465" t="str">
        <x:v>trv_ar_2025</x:v>
      </x:c>
      <x:c r="F465" t="n">
        <x:v>193</x:v>
      </x:c>
      <x:c r="G465" t="str">
        <x:v>2026-02-12</x:v>
      </x:c>
      <x:c r="H465" t="str">
        <x:v>https://s26.q4cdn.com/410417801/files/doc_financials/2025/AR/2026-Travelers-Annual-Report-Final.pdf</x:v>
      </x:c>
      <x:c r="I465" t="str">
        <x:v>https://www.sec.gov/Archives/edgar/data/86312/000008631226000065/0000086312-26-000065-index.htm</x:v>
      </x:c>
      <x:c r="J465" t="str">
        <x:v>94fc0b121687402eac9a025d2701d2fe93c0789143797961ad6faad1c6dcb5b6</x:v>
      </x:c>
    </x:row>
    <x:row r="466">
      <x:c r="A466" t="n">
        <x:v>2024</x:v>
      </x:c>
      <x:c r="B466" t="str">
        <x:v>assumed_written</x:v>
      </x:c>
      <x:c r="C466" s="1" t="n">
        <x:v>2173</x:v>
      </x:c>
      <x:c r="D466" t="str">
        <x:v>disclosed</x:v>
      </x:c>
      <x:c r="E466" t="str">
        <x:v>trv_ar_2025</x:v>
      </x:c>
      <x:c r="F466" t="n">
        <x:v>193</x:v>
      </x:c>
      <x:c r="G466" t="str">
        <x:v>2026-02-12</x:v>
      </x:c>
      <x:c r="H466" t="str">
        <x:v>https://s26.q4cdn.com/410417801/files/doc_financials/2025/AR/2026-Travelers-Annual-Report-Final.pdf</x:v>
      </x:c>
      <x:c r="I466" t="str">
        <x:v>https://www.sec.gov/Archives/edgar/data/86312/000008631226000065/0000086312-26-000065-index.htm</x:v>
      </x:c>
      <x:c r="J466" t="str">
        <x:v>94fc0b121687402eac9a025d2701d2fe93c0789143797961ad6faad1c6dcb5b6</x:v>
      </x:c>
    </x:row>
    <x:row r="467">
      <x:c r="A467" t="n">
        <x:v>2024</x:v>
      </x:c>
      <x:c r="B467" t="str">
        <x:v>balance_sheet_claim_reserves</x:v>
      </x:c>
      <x:c r="C467" s="1" t="n">
        <x:v>64093</x:v>
      </x:c>
      <x:c r="D467" t="str">
        <x:v>disclosed</x:v>
      </x:c>
      <x:c r="E467" t="str">
        <x:v>trv_ar_2024</x:v>
      </x:c>
      <x:c r="F467" t="n">
        <x:v>150</x:v>
      </x:c>
      <x:c r="G467" t="str">
        <x:v>2025-02-13</x:v>
      </x:c>
      <x:c r="H467" t="str">
        <x:v>https://s26.q4cdn.com/410417801/files/doc_financials/2024/ar/v2/Travelers-2024-Annual-Report.pdf</x:v>
      </x:c>
      <x:c r="I467" t="str">
        <x:v>https://www.sec.gov/Archives/edgar/data/86312/000008631225000012/0000086312-25-000012-index.htm</x:v>
      </x:c>
      <x:c r="J467" t="str">
        <x:v>7a58a170cab4531d8e58266b98dbf26cba66bbe16c9a692c771f415a4c49d65c</x:v>
      </x:c>
    </x:row>
    <x:row r="468">
      <x:c r="A468" t="n">
        <x:v>2024</x:v>
      </x:c>
      <x:c r="B468" t="str">
        <x:v>cash</x:v>
      </x:c>
      <x:c r="C468" s="1" t="n">
        <x:v>699</x:v>
      </x:c>
      <x:c r="D468" t="str">
        <x:v>disclosed</x:v>
      </x:c>
      <x:c r="E468" t="str">
        <x:v>trv_ar_2024</x:v>
      </x:c>
      <x:c r="F468" t="n">
        <x:v>150</x:v>
      </x:c>
      <x:c r="G468" t="str">
        <x:v>2025-02-13</x:v>
      </x:c>
      <x:c r="H468" t="str">
        <x:v>https://s26.q4cdn.com/410417801/files/doc_financials/2024/ar/v2/Travelers-2024-Annual-Report.pdf</x:v>
      </x:c>
      <x:c r="I468" t="str">
        <x:v>https://www.sec.gov/Archives/edgar/data/86312/000008631225000012/0000086312-25-000012-index.htm</x:v>
      </x:c>
      <x:c r="J468" t="str">
        <x:v>7a58a170cab4531d8e58266b98dbf26cba66bbe16c9a692c771f415a4c49d65c</x:v>
      </x:c>
    </x:row>
    <x:row r="469">
      <x:c r="A469" t="n">
        <x:v>2024</x:v>
      </x:c>
      <x:c r="B469" t="str">
        <x:v>cash_change_before_reclassification</x:v>
      </x:c>
      <x:c r="C469" s="1" t="n">
        <x:v>49</x:v>
      </x:c>
      <x:c r="D469" t="str">
        <x:v>disclosed</x:v>
      </x:c>
      <x:c r="E469" t="str">
        <x:v>trv_ar_2025</x:v>
      </x:c>
      <x:c r="F469" t="n">
        <x:v>161</x:v>
      </x:c>
      <x:c r="G469" t="str">
        <x:v>2026-02-12</x:v>
      </x:c>
      <x:c r="H469" t="str">
        <x:v>https://s26.q4cdn.com/410417801/files/doc_financials/2025/AR/2026-Travelers-Annual-Report-Final.pdf</x:v>
      </x:c>
      <x:c r="I469" t="str">
        <x:v>https://www.sec.gov/Archives/edgar/data/86312/000008631226000065/0000086312-26-000065-index.htm</x:v>
      </x:c>
      <x:c r="J469" t="str">
        <x:v>94fc0b121687402eac9a025d2701d2fe93c0789143797961ad6faad1c6dcb5b6</x:v>
      </x:c>
    </x:row>
    <x:row r="470">
      <x:c r="A470" t="n">
        <x:v>2024</x:v>
      </x:c>
      <x:c r="B470" t="str">
        <x:v>cash_flow_closing</x:v>
      </x:c>
      <x:c r="C470" s="1" t="n">
        <x:v>699</x:v>
      </x:c>
      <x:c r="D470" t="str">
        <x:v>disclosed</x:v>
      </x:c>
      <x:c r="E470" t="str">
        <x:v>trv_ar_2025</x:v>
      </x:c>
      <x:c r="F470" t="n">
        <x:v>161</x:v>
      </x:c>
      <x:c r="G470" t="str">
        <x:v>2026-02-12</x:v>
      </x:c>
      <x:c r="H470" t="str">
        <x:v>https://s26.q4cdn.com/410417801/files/doc_financials/2025/AR/2026-Travelers-Annual-Report-Final.pdf</x:v>
      </x:c>
      <x:c r="I470" t="str">
        <x:v>https://www.sec.gov/Archives/edgar/data/86312/000008631226000065/0000086312-26-000065-index.htm</x:v>
      </x:c>
      <x:c r="J470" t="str">
        <x:v>94fc0b121687402eac9a025d2701d2fe93c0789143797961ad6faad1c6dcb5b6</x:v>
      </x:c>
    </x:row>
    <x:row r="471">
      <x:c r="A471" t="n">
        <x:v>2024</x:v>
      </x:c>
      <x:c r="B471" t="str">
        <x:v>cash_flow_net_income</x:v>
      </x:c>
      <x:c r="C471" s="1" t="n">
        <x:v>4999</x:v>
      </x:c>
      <x:c r="D471" t="str">
        <x:v>disclosed</x:v>
      </x:c>
      <x:c r="E471" t="str">
        <x:v>trv_ar_2025</x:v>
      </x:c>
      <x:c r="F471" t="n">
        <x:v>161</x:v>
      </x:c>
      <x:c r="G471" t="str">
        <x:v>2026-02-12</x:v>
      </x:c>
      <x:c r="H471" t="str">
        <x:v>https://s26.q4cdn.com/410417801/files/doc_financials/2025/AR/2026-Travelers-Annual-Report-Final.pdf</x:v>
      </x:c>
      <x:c r="I471" t="str">
        <x:v>https://www.sec.gov/Archives/edgar/data/86312/000008631226000065/0000086312-26-000065-index.htm</x:v>
      </x:c>
      <x:c r="J471" t="str">
        <x:v>94fc0b121687402eac9a025d2701d2fe93c0789143797961ad6faad1c6dcb5b6</x:v>
      </x:c>
    </x:row>
    <x:row r="472">
      <x:c r="A472" t="n">
        <x:v>2024</x:v>
      </x:c>
      <x:c r="B472" t="str">
        <x:v>cash_flow_opening</x:v>
      </x:c>
      <x:c r="C472" s="1" t="n">
        <x:v>650</x:v>
      </x:c>
      <x:c r="D472" t="str">
        <x:v>disclosed</x:v>
      </x:c>
      <x:c r="E472" t="str">
        <x:v>trv_ar_2025</x:v>
      </x:c>
      <x:c r="F472" t="n">
        <x:v>161</x:v>
      </x:c>
      <x:c r="G472" t="str">
        <x:v>2026-02-12</x:v>
      </x:c>
      <x:c r="H472" t="str">
        <x:v>https://s26.q4cdn.com/410417801/files/doc_financials/2025/AR/2026-Travelers-Annual-Report-Final.pdf</x:v>
      </x:c>
      <x:c r="I472" t="str">
        <x:v>https://www.sec.gov/Archives/edgar/data/86312/000008631226000065/0000086312-26-000065-index.htm</x:v>
      </x:c>
      <x:c r="J472" t="str">
        <x:v>94fc0b121687402eac9a025d2701d2fe93c0789143797961ad6faad1c6dcb5b6</x:v>
      </x:c>
    </x:row>
    <x:row r="473">
      <x:c r="A473" t="n">
        <x:v>2024</x:v>
      </x:c>
      <x:c r="B473" t="str">
        <x:v>cash_fx</x:v>
      </x:c>
      <x:c r="C473" s="1" t="n">
        <x:v>-14</x:v>
      </x:c>
      <x:c r="D473" t="str">
        <x:v>disclosed</x:v>
      </x:c>
      <x:c r="E473" t="str">
        <x:v>trv_ar_2025</x:v>
      </x:c>
      <x:c r="F473" t="n">
        <x:v>161</x:v>
      </x:c>
      <x:c r="G473" t="str">
        <x:v>2026-02-12</x:v>
      </x:c>
      <x:c r="H473" t="str">
        <x:v>https://s26.q4cdn.com/410417801/files/doc_financials/2025/AR/2026-Travelers-Annual-Report-Final.pdf</x:v>
      </x:c>
      <x:c r="I473" t="str">
        <x:v>https://www.sec.gov/Archives/edgar/data/86312/000008631226000065/0000086312-26-000065-index.htm</x:v>
      </x:c>
      <x:c r="J473" t="str">
        <x:v>94fc0b121687402eac9a025d2701d2fe93c0789143797961ad6faad1c6dcb5b6</x:v>
      </x:c>
    </x:row>
    <x:row r="474">
      <x:c r="A474" t="n">
        <x:v>2024</x:v>
      </x:c>
      <x:c r="B474" t="str">
        <x:v>cash_tax</x:v>
      </x:c>
      <x:c r="C474" s="1" t="n">
        <x:v>1310</x:v>
      </x:c>
      <x:c r="D474" t="str">
        <x:v>disclosed</x:v>
      </x:c>
      <x:c r="E474" t="str">
        <x:v>trv_ar_2025</x:v>
      </x:c>
      <x:c r="F474" t="n">
        <x:v>161</x:v>
      </x:c>
      <x:c r="G474" t="str">
        <x:v>2026-02-12</x:v>
      </x:c>
      <x:c r="H474" t="str">
        <x:v>https://s26.q4cdn.com/410417801/files/doc_financials/2025/AR/2026-Travelers-Annual-Report-Final.pdf</x:v>
      </x:c>
      <x:c r="I474" t="str">
        <x:v>https://www.sec.gov/Archives/edgar/data/86312/000008631226000065/0000086312-26-000065-index.htm</x:v>
      </x:c>
      <x:c r="J474" t="str">
        <x:v>94fc0b121687402eac9a025d2701d2fe93c0789143797961ad6faad1c6dcb5b6</x:v>
      </x:c>
    </x:row>
    <x:row r="475">
      <x:c r="A475" t="n">
        <x:v>2024</x:v>
      </x:c>
      <x:c r="B475" t="str">
        <x:v>ceded_earned</x:v>
      </x:c>
      <x:c r="C475" s="1" t="n">
        <x:v>3137</x:v>
      </x:c>
      <x:c r="D475" t="str">
        <x:v>disclosed</x:v>
      </x:c>
      <x:c r="E475" t="str">
        <x:v>trv_ar_2025</x:v>
      </x:c>
      <x:c r="F475" t="n">
        <x:v>193</x:v>
      </x:c>
      <x:c r="G475" t="str">
        <x:v>2026-02-12</x:v>
      </x:c>
      <x:c r="H475" t="str">
        <x:v>https://s26.q4cdn.com/410417801/files/doc_financials/2025/AR/2026-Travelers-Annual-Report-Final.pdf</x:v>
      </x:c>
      <x:c r="I475" t="str">
        <x:v>https://www.sec.gov/Archives/edgar/data/86312/000008631226000065/0000086312-26-000065-index.htm</x:v>
      </x:c>
      <x:c r="J475" t="str">
        <x:v>94fc0b121687402eac9a025d2701d2fe93c0789143797961ad6faad1c6dcb5b6</x:v>
      </x:c>
    </x:row>
    <x:row r="476">
      <x:c r="A476" t="n">
        <x:v>2024</x:v>
      </x:c>
      <x:c r="B476" t="str">
        <x:v>ceded_upr</x:v>
      </x:c>
      <x:c r="C476" s="1" t="n">
        <x:v>1202</x:v>
      </x:c>
      <x:c r="D476" t="str">
        <x:v>disclosed</x:v>
      </x:c>
      <x:c r="E476" t="str">
        <x:v>trv_ar_2024</x:v>
      </x:c>
      <x:c r="F476" t="n">
        <x:v>150</x:v>
      </x:c>
      <x:c r="G476" t="str">
        <x:v>2025-02-13</x:v>
      </x:c>
      <x:c r="H476" t="str">
        <x:v>https://s26.q4cdn.com/410417801/files/doc_financials/2024/ar/v2/Travelers-2024-Annual-Report.pdf</x:v>
      </x:c>
      <x:c r="I476" t="str">
        <x:v>https://www.sec.gov/Archives/edgar/data/86312/000008631225000012/0000086312-25-000012-index.htm</x:v>
      </x:c>
      <x:c r="J476" t="str">
        <x:v>7a58a170cab4531d8e58266b98dbf26cba66bbe16c9a692c771f415a4c49d65c</x:v>
      </x:c>
    </x:row>
    <x:row r="477">
      <x:c r="A477" t="n">
        <x:v>2024</x:v>
      </x:c>
      <x:c r="B477" t="str">
        <x:v>ceded_written</x:v>
      </x:c>
      <x:c r="C477" s="1" t="n">
        <x:v>3194</x:v>
      </x:c>
      <x:c r="D477" t="str">
        <x:v>disclosed</x:v>
      </x:c>
      <x:c r="E477" t="str">
        <x:v>trv_ar_2025</x:v>
      </x:c>
      <x:c r="F477" t="n">
        <x:v>193</x:v>
      </x:c>
      <x:c r="G477" t="str">
        <x:v>2026-02-12</x:v>
      </x:c>
      <x:c r="H477" t="str">
        <x:v>https://s26.q4cdn.com/410417801/files/doc_financials/2025/AR/2026-Travelers-Annual-Report-Final.pdf</x:v>
      </x:c>
      <x:c r="I477" t="str">
        <x:v>https://www.sec.gov/Archives/edgar/data/86312/000008631226000065/0000086312-26-000065-index.htm</x:v>
      </x:c>
      <x:c r="J477" t="str">
        <x:v>94fc0b121687402eac9a025d2701d2fe93c0789143797961ad6faad1c6dcb5b6</x:v>
      </x:c>
    </x:row>
    <x:row r="478">
      <x:c r="A478" t="n">
        <x:v>2024</x:v>
      </x:c>
      <x:c r="B478" t="str">
        <x:v>cff</x:v>
      </x:c>
      <x:c r="C478" s="1" t="n">
        <x:v>-1747</x:v>
      </x:c>
      <x:c r="D478" t="str">
        <x:v>disclosed</x:v>
      </x:c>
      <x:c r="E478" t="str">
        <x:v>trv_ar_2025</x:v>
      </x:c>
      <x:c r="F478" t="n">
        <x:v>161</x:v>
      </x:c>
      <x:c r="G478" t="str">
        <x:v>2026-02-12</x:v>
      </x:c>
      <x:c r="H478" t="str">
        <x:v>https://s26.q4cdn.com/410417801/files/doc_financials/2025/AR/2026-Travelers-Annual-Report-Final.pdf</x:v>
      </x:c>
      <x:c r="I478" t="str">
        <x:v>https://www.sec.gov/Archives/edgar/data/86312/000008631226000065/0000086312-26-000065-index.htm</x:v>
      </x:c>
      <x:c r="J478" t="str">
        <x:v>94fc0b121687402eac9a025d2701d2fe93c0789143797961ad6faad1c6dcb5b6</x:v>
      </x:c>
    </x:row>
    <x:row r="479">
      <x:c r="A479" t="n">
        <x:v>2024</x:v>
      </x:c>
      <x:c r="B479" t="str">
        <x:v>cfi</x:v>
      </x:c>
      <x:c r="C479" s="1" t="n">
        <x:v>-7264</x:v>
      </x:c>
      <x:c r="D479" t="str">
        <x:v>disclosed</x:v>
      </x:c>
      <x:c r="E479" t="str">
        <x:v>trv_ar_2025</x:v>
      </x:c>
      <x:c r="F479" t="n">
        <x:v>161</x:v>
      </x:c>
      <x:c r="G479" t="str">
        <x:v>2026-02-12</x:v>
      </x:c>
      <x:c r="H479" t="str">
        <x:v>https://s26.q4cdn.com/410417801/files/doc_financials/2025/AR/2026-Travelers-Annual-Report-Final.pdf</x:v>
      </x:c>
      <x:c r="I479" t="str">
        <x:v>https://www.sec.gov/Archives/edgar/data/86312/000008631226000065/0000086312-26-000065-index.htm</x:v>
      </x:c>
      <x:c r="J479" t="str">
        <x:v>94fc0b121687402eac9a025d2701d2fe93c0789143797961ad6faad1c6dcb5b6</x:v>
      </x:c>
    </x:row>
    <x:row r="480">
      <x:c r="A480" t="n">
        <x:v>2024</x:v>
      </x:c>
      <x:c r="B480" t="str">
        <x:v>cfo</x:v>
      </x:c>
      <x:c r="C480" s="1" t="n">
        <x:v>9074</x:v>
      </x:c>
      <x:c r="D480" t="str">
        <x:v>disclosed</x:v>
      </x:c>
      <x:c r="E480" t="str">
        <x:v>trv_ar_2025</x:v>
      </x:c>
      <x:c r="F480" t="n">
        <x:v>161</x:v>
      </x:c>
      <x:c r="G480" t="str">
        <x:v>2026-02-12</x:v>
      </x:c>
      <x:c r="H480" t="str">
        <x:v>https://s26.q4cdn.com/410417801/files/doc_financials/2025/AR/2026-Travelers-Annual-Report-Final.pdf</x:v>
      </x:c>
      <x:c r="I480" t="str">
        <x:v>https://www.sec.gov/Archives/edgar/data/86312/000008631226000065/0000086312-26-000065-index.htm</x:v>
      </x:c>
      <x:c r="J480" t="str">
        <x:v>94fc0b121687402eac9a025d2701d2fe93c0789143797961ad6faad1c6dcb5b6</x:v>
      </x:c>
    </x:row>
    <x:row r="481">
      <x:c r="A481" t="n">
        <x:v>2024</x:v>
      </x:c>
      <x:c r="B481" t="str">
        <x:v>claims</x:v>
      </x:c>
      <x:c r="C481" s="1" t="n">
        <x:v>27059</x:v>
      </x:c>
      <x:c r="D481" t="str">
        <x:v>disclosed</x:v>
      </x:c>
      <x:c r="E481" t="str">
        <x:v>trv_ar_2025</x:v>
      </x:c>
      <x:c r="F481" t="n">
        <x:v>157</x:v>
      </x:c>
      <x:c r="G481" t="str">
        <x:v>2026-02-12</x:v>
      </x:c>
      <x:c r="H481" t="str">
        <x:v>https://s26.q4cdn.com/410417801/files/doc_financials/2025/AR/2026-Travelers-Annual-Report-Final.pdf</x:v>
      </x:c>
      <x:c r="I481" t="str">
        <x:v>https://www.sec.gov/Archives/edgar/data/86312/000008631226000065/0000086312-26-000065-index.htm</x:v>
      </x:c>
      <x:c r="J481" t="str">
        <x:v>94fc0b121687402eac9a025d2701d2fe93c0789143797961ad6faad1c6dcb5b6</x:v>
      </x:c>
    </x:row>
    <x:row r="482">
      <x:c r="A482" t="n">
        <x:v>2024</x:v>
      </x:c>
      <x:c r="B482" t="str">
        <x:v>closing_aoci</x:v>
      </x:c>
      <x:c r="C482" s="1" t="n">
        <x:v>-4967</x:v>
      </x:c>
      <x:c r="D482" t="str">
        <x:v>disclosed</x:v>
      </x:c>
      <x:c r="E482" t="str">
        <x:v>trv_ar_2025</x:v>
      </x:c>
      <x:c r="F482" t="n">
        <x:v>160</x:v>
      </x:c>
      <x:c r="G482" t="str">
        <x:v>2026-02-12</x:v>
      </x:c>
      <x:c r="H482" t="str">
        <x:v>https://s26.q4cdn.com/410417801/files/doc_financials/2025/AR/2026-Travelers-Annual-Report-Final.pdf</x:v>
      </x:c>
      <x:c r="I482" t="str">
        <x:v>https://www.sec.gov/Archives/edgar/data/86312/000008631226000065/0000086312-26-000065-index.htm</x:v>
      </x:c>
      <x:c r="J482" t="str">
        <x:v>94fc0b121687402eac9a025d2701d2fe93c0789143797961ad6faad1c6dcb5b6</x:v>
      </x:c>
    </x:row>
    <x:row r="483">
      <x:c r="A483" t="n">
        <x:v>2024</x:v>
      </x:c>
      <x:c r="B483" t="str">
        <x:v>closing_equity</x:v>
      </x:c>
      <x:c r="C483" s="1" t="n">
        <x:v>27864</x:v>
      </x:c>
      <x:c r="D483" t="str">
        <x:v>disclosed</x:v>
      </x:c>
      <x:c r="E483" t="str">
        <x:v>trv_ar_2025</x:v>
      </x:c>
      <x:c r="F483" t="n">
        <x:v>160</x:v>
      </x:c>
      <x:c r="G483" t="str">
        <x:v>2026-02-12</x:v>
      </x:c>
      <x:c r="H483" t="str">
        <x:v>https://s26.q4cdn.com/410417801/files/doc_financials/2025/AR/2026-Travelers-Annual-Report-Final.pdf</x:v>
      </x:c>
      <x:c r="I483" t="str">
        <x:v>https://www.sec.gov/Archives/edgar/data/86312/000008631226000065/0000086312-26-000065-index.htm</x:v>
      </x:c>
      <x:c r="J483" t="str">
        <x:v>94fc0b121687402eac9a025d2701d2fe93c0789143797961ad6faad1c6dcb5b6</x:v>
      </x:c>
    </x:row>
    <x:row r="484">
      <x:c r="A484" t="n">
        <x:v>2024</x:v>
      </x:c>
      <x:c r="B484" t="str">
        <x:v>closing_shares</x:v>
      </x:c>
      <x:c r="C484" s="1" t="n">
        <x:v>226.6</x:v>
      </x:c>
      <x:c r="D484" t="str">
        <x:v>disclosed</x:v>
      </x:c>
      <x:c r="E484" t="str">
        <x:v>trv_ar_2025</x:v>
      </x:c>
      <x:c r="F484" t="n">
        <x:v>160</x:v>
      </x:c>
      <x:c r="G484" t="str">
        <x:v>2026-02-12</x:v>
      </x:c>
      <x:c r="H484" t="str">
        <x:v>https://s26.q4cdn.com/410417801/files/doc_financials/2025/AR/2026-Travelers-Annual-Report-Final.pdf</x:v>
      </x:c>
      <x:c r="I484" t="str">
        <x:v>https://www.sec.gov/Archives/edgar/data/86312/000008631226000065/0000086312-26-000065-index.htm</x:v>
      </x:c>
      <x:c r="J484" t="str">
        <x:v>94fc0b121687402eac9a025d2701d2fe93c0789143797961ad6faad1c6dcb5b6</x:v>
      </x:c>
    </x:row>
    <x:row r="485">
      <x:c r="A485" t="n">
        <x:v>2024</x:v>
      </x:c>
      <x:c r="B485" t="str">
        <x:v>common_stock</x:v>
      </x:c>
      <x:c r="C485" s="1" t="n">
        <x:v>25452</x:v>
      </x:c>
      <x:c r="D485" t="str">
        <x:v>disclosed</x:v>
      </x:c>
      <x:c r="E485" t="str">
        <x:v>trv_ar_2025</x:v>
      </x:c>
      <x:c r="F485" t="n">
        <x:v>159</x:v>
      </x:c>
      <x:c r="G485" t="str">
        <x:v>2026-02-12</x:v>
      </x:c>
      <x:c r="H485" t="str">
        <x:v>https://s26.q4cdn.com/410417801/files/doc_financials/2025/AR/2026-Travelers-Annual-Report-Final.pdf</x:v>
      </x:c>
      <x:c r="I485" t="str">
        <x:v>https://www.sec.gov/Archives/edgar/data/86312/000008631226000065/0000086312-26-000065-index.htm</x:v>
      </x:c>
      <x:c r="J485" t="str">
        <x:v>94fc0b121687402eac9a025d2701d2fe93c0789143797961ad6faad1c6dcb5b6</x:v>
      </x:c>
    </x:row>
    <x:row r="486">
      <x:c r="A486" t="n">
        <x:v>2024</x:v>
      </x:c>
      <x:c r="B486" t="str">
        <x:v>contractholder_payables</x:v>
      </x:c>
      <x:c r="C486" s="1" t="n">
        <x:v>3189</x:v>
      </x:c>
      <x:c r="D486" t="str">
        <x:v>disclosed</x:v>
      </x:c>
      <x:c r="E486" t="str">
        <x:v>trv_ar_2025</x:v>
      </x:c>
      <x:c r="F486" t="n">
        <x:v>159</x:v>
      </x:c>
      <x:c r="G486" t="str">
        <x:v>2026-02-12</x:v>
      </x:c>
      <x:c r="H486" t="str">
        <x:v>https://s26.q4cdn.com/410417801/files/doc_financials/2025/AR/2026-Travelers-Annual-Report-Final.pdf</x:v>
      </x:c>
      <x:c r="I486" t="str">
        <x:v>https://www.sec.gov/Archives/edgar/data/86312/000008631226000065/0000086312-26-000065-index.htm</x:v>
      </x:c>
      <x:c r="J486" t="str">
        <x:v>94fc0b121687402eac9a025d2701d2fe93c0789143797961ad6faad1c6dcb5b6</x:v>
      </x:c>
    </x:row>
    <x:row r="487">
      <x:c r="A487" t="n">
        <x:v>2024</x:v>
      </x:c>
      <x:c r="B487" t="str">
        <x:v>contractholder_receivables</x:v>
      </x:c>
      <x:c r="C487" s="1" t="n">
        <x:v>3171</x:v>
      </x:c>
      <x:c r="D487" t="str">
        <x:v>disclosed</x:v>
      </x:c>
      <x:c r="E487" t="str">
        <x:v>trv_ar_2025</x:v>
      </x:c>
      <x:c r="F487" t="n">
        <x:v>159</x:v>
      </x:c>
      <x:c r="G487" t="str">
        <x:v>2026-02-12</x:v>
      </x:c>
      <x:c r="H487" t="str">
        <x:v>https://s26.q4cdn.com/410417801/files/doc_financials/2025/AR/2026-Travelers-Annual-Report-Final.pdf</x:v>
      </x:c>
      <x:c r="I487" t="str">
        <x:v>https://www.sec.gov/Archives/edgar/data/86312/000008631226000065/0000086312-26-000065-index.htm</x:v>
      </x:c>
      <x:c r="J487" t="str">
        <x:v>94fc0b121687402eac9a025d2701d2fe93c0789143797961ad6faad1c6dcb5b6</x:v>
      </x:c>
    </x:row>
    <x:row r="488">
      <x:c r="A488" t="n">
        <x:v>2024</x:v>
      </x:c>
      <x:c r="B488" t="str">
        <x:v>current_incurred</x:v>
      </x:c>
      <x:c r="C488" s="1" t="n">
        <x:v>27508</x:v>
      </x:c>
      <x:c r="D488" t="str">
        <x:v>disclosed</x:v>
      </x:c>
      <x:c r="E488" t="str">
        <x:v>trv_ar_2025</x:v>
      </x:c>
      <x:c r="F488" t="n">
        <x:v>195</x:v>
      </x:c>
      <x:c r="G488" t="str">
        <x:v>2026-02-12</x:v>
      </x:c>
      <x:c r="H488" t="str">
        <x:v>https://s26.q4cdn.com/410417801/files/doc_financials/2025/AR/2026-Travelers-Annual-Report-Final.pdf</x:v>
      </x:c>
      <x:c r="I488" t="str">
        <x:v>https://www.sec.gov/Archives/edgar/data/86312/000008631226000065/0000086312-26-000065-index.htm</x:v>
      </x:c>
      <x:c r="J488" t="str">
        <x:v>94fc0b121687402eac9a025d2701d2fe93c0789143797961ad6faad1c6dcb5b6</x:v>
      </x:c>
    </x:row>
    <x:row r="489">
      <x:c r="A489" t="n">
        <x:v>2024</x:v>
      </x:c>
      <x:c r="B489" t="str">
        <x:v>dac</x:v>
      </x:c>
      <x:c r="C489" s="1" t="n">
        <x:v>3494</x:v>
      </x:c>
      <x:c r="D489" t="str">
        <x:v>disclosed</x:v>
      </x:c>
      <x:c r="E489" t="str">
        <x:v>trv_ar_2024</x:v>
      </x:c>
      <x:c r="F489" t="n">
        <x:v>150</x:v>
      </x:c>
      <x:c r="G489" t="str">
        <x:v>2025-02-13</x:v>
      </x:c>
      <x:c r="H489" t="str">
        <x:v>https://s26.q4cdn.com/410417801/files/doc_financials/2024/ar/v2/Travelers-2024-Annual-Report.pdf</x:v>
      </x:c>
      <x:c r="I489" t="str">
        <x:v>https://www.sec.gov/Archives/edgar/data/86312/000008631225000012/0000086312-25-000012-index.htm</x:v>
      </x:c>
      <x:c r="J489" t="str">
        <x:v>7a58a170cab4531d8e58266b98dbf26cba66bbe16c9a692c771f415a4c49d65c</x:v>
      </x:c>
    </x:row>
    <x:row r="490">
      <x:c r="A490" t="n">
        <x:v>2024</x:v>
      </x:c>
      <x:c r="B490" t="str">
        <x:v>dac_amortization</x:v>
      </x:c>
      <x:c r="C490" s="1" t="n">
        <x:v>6973</x:v>
      </x:c>
      <x:c r="D490" t="str">
        <x:v>disclosed</x:v>
      </x:c>
      <x:c r="E490" t="str">
        <x:v>trv_ar_2025</x:v>
      </x:c>
      <x:c r="F490" t="n">
        <x:v>157</x:v>
      </x:c>
      <x:c r="G490" t="str">
        <x:v>2026-02-12</x:v>
      </x:c>
      <x:c r="H490" t="str">
        <x:v>https://s26.q4cdn.com/410417801/files/doc_financials/2025/AR/2026-Travelers-Annual-Report-Final.pdf</x:v>
      </x:c>
      <x:c r="I490" t="str">
        <x:v>https://www.sec.gov/Archives/edgar/data/86312/000008631226000065/0000086312-26-000065-index.htm</x:v>
      </x:c>
      <x:c r="J490" t="str">
        <x:v>94fc0b121687402eac9a025d2701d2fe93c0789143797961ad6faad1c6dcb5b6</x:v>
      </x:c>
    </x:row>
    <x:row r="491">
      <x:c r="A491" t="n">
        <x:v>2024</x:v>
      </x:c>
      <x:c r="B491" t="str">
        <x:v>dac_cash_additions</x:v>
      </x:c>
      <x:c r="C491" s="1" t="n">
        <x:v>7173</x:v>
      </x:c>
      <x:c r="D491" t="str">
        <x:v>disclosed</x:v>
      </x:c>
      <x:c r="E491" t="str">
        <x:v>trv_ar_2025</x:v>
      </x:c>
      <x:c r="F491" t="n">
        <x:v>161</x:v>
      </x:c>
      <x:c r="G491" t="str">
        <x:v>2026-02-12</x:v>
      </x:c>
      <x:c r="H491" t="str">
        <x:v>https://s26.q4cdn.com/410417801/files/doc_financials/2025/AR/2026-Travelers-Annual-Report-Final.pdf</x:v>
      </x:c>
      <x:c r="I491" t="str">
        <x:v>https://www.sec.gov/Archives/edgar/data/86312/000008631226000065/0000086312-26-000065-index.htm</x:v>
      </x:c>
      <x:c r="J491" t="str">
        <x:v>94fc0b121687402eac9a025d2701d2fe93c0789143797961ad6faad1c6dcb5b6</x:v>
      </x:c>
    </x:row>
    <x:row r="492">
      <x:c r="A492" t="n">
        <x:v>2024</x:v>
      </x:c>
      <x:c r="B492" t="str">
        <x:v>debt</x:v>
      </x:c>
      <x:c r="C492" s="1" t="n">
        <x:v>8033</x:v>
      </x:c>
      <x:c r="D492" t="str">
        <x:v>disclosed</x:v>
      </x:c>
      <x:c r="E492" t="str">
        <x:v>trv_ar_2024</x:v>
      </x:c>
      <x:c r="F492" t="n">
        <x:v>150</x:v>
      </x:c>
      <x:c r="G492" t="str">
        <x:v>2025-02-13</x:v>
      </x:c>
      <x:c r="H492" t="str">
        <x:v>https://s26.q4cdn.com/410417801/files/doc_financials/2024/ar/v2/Travelers-2024-Annual-Report.pdf</x:v>
      </x:c>
      <x:c r="I492" t="str">
        <x:v>https://www.sec.gov/Archives/edgar/data/86312/000008631225000012/0000086312-25-000012-index.htm</x:v>
      </x:c>
      <x:c r="J492" t="str">
        <x:v>7a58a170cab4531d8e58266b98dbf26cba66bbe16c9a692c771f415a4c49d65c</x:v>
      </x:c>
    </x:row>
    <x:row r="493">
      <x:c r="A493" t="n">
        <x:v>2024</x:v>
      </x:c>
      <x:c r="B493" t="str">
        <x:v>debt_issuance</x:v>
      </x:c>
      <x:c r="C493" s="1" t="n">
        <x:v>0</x:v>
      </x:c>
      <x:c r="D493" t="str">
        <x:v>disclosed</x:v>
      </x:c>
      <x:c r="E493" t="str">
        <x:v>trv_ar_2025</x:v>
      </x:c>
      <x:c r="F493" t="n">
        <x:v>161</x:v>
      </x:c>
      <x:c r="G493" t="str">
        <x:v>2026-02-12</x:v>
      </x:c>
      <x:c r="H493" t="str">
        <x:v>https://s26.q4cdn.com/410417801/files/doc_financials/2025/AR/2026-Travelers-Annual-Report-Final.pdf</x:v>
      </x:c>
      <x:c r="I493" t="str">
        <x:v>https://www.sec.gov/Archives/edgar/data/86312/000008631226000065/0000086312-26-000065-index.htm</x:v>
      </x:c>
      <x:c r="J493" t="str">
        <x:v>94fc0b121687402eac9a025d2701d2fe93c0789143797961ad6faad1c6dcb5b6</x:v>
      </x:c>
    </x:row>
    <x:row r="494">
      <x:c r="A494" t="n">
        <x:v>2024</x:v>
      </x:c>
      <x:c r="B494" t="str">
        <x:v>debt_repayment</x:v>
      </x:c>
      <x:c r="C494" s="1" t="n">
        <x:v>0</x:v>
      </x:c>
      <x:c r="D494" t="str">
        <x:v>disclosed</x:v>
      </x:c>
      <x:c r="E494" t="str">
        <x:v>trv_ar_2025</x:v>
      </x:c>
      <x:c r="F494" t="n">
        <x:v>161</x:v>
      </x:c>
      <x:c r="G494" t="str">
        <x:v>2026-02-12</x:v>
      </x:c>
      <x:c r="H494" t="str">
        <x:v>https://s26.q4cdn.com/410417801/files/doc_financials/2025/AR/2026-Travelers-Annual-Report-Final.pdf</x:v>
      </x:c>
      <x:c r="I494" t="str">
        <x:v>https://www.sec.gov/Archives/edgar/data/86312/000008631226000065/0000086312-26-000065-index.htm</x:v>
      </x:c>
      <x:c r="J494" t="str">
        <x:v>94fc0b121687402eac9a025d2701d2fe93c0789143797961ad6faad1c6dcb5b6</x:v>
      </x:c>
    </x:row>
    <x:row r="495">
      <x:c r="A495" t="n">
        <x:v>2024</x:v>
      </x:c>
      <x:c r="B495" t="str">
        <x:v>deferred_tax_asset</x:v>
      </x:c>
      <x:c r="C495" s="1" t="n">
        <x:v>1762</x:v>
      </x:c>
      <x:c r="D495" t="str">
        <x:v>disclosed</x:v>
      </x:c>
      <x:c r="E495" t="str">
        <x:v>trv_ar_2025</x:v>
      </x:c>
      <x:c r="F495" t="n">
        <x:v>159</x:v>
      </x:c>
      <x:c r="G495" t="str">
        <x:v>2026-02-12</x:v>
      </x:c>
      <x:c r="H495" t="str">
        <x:v>https://s26.q4cdn.com/410417801/files/doc_financials/2025/AR/2026-Travelers-Annual-Report-Final.pdf</x:v>
      </x:c>
      <x:c r="I495" t="str">
        <x:v>https://www.sec.gov/Archives/edgar/data/86312/000008631226000065/0000086312-26-000065-index.htm</x:v>
      </x:c>
      <x:c r="J495" t="str">
        <x:v>94fc0b121687402eac9a025d2701d2fe93c0789143797961ad6faad1c6dcb5b6</x:v>
      </x:c>
    </x:row>
    <x:row r="496">
      <x:c r="A496" t="n">
        <x:v>2024</x:v>
      </x:c>
      <x:c r="B496" t="str">
        <x:v>direct_earned</x:v>
      </x:c>
      <x:c r="C496" s="1" t="n">
        <x:v>42983</x:v>
      </x:c>
      <x:c r="D496" t="str">
        <x:v>disclosed</x:v>
      </x:c>
      <x:c r="E496" t="str">
        <x:v>trv_ar_2025</x:v>
      </x:c>
      <x:c r="F496" t="n">
        <x:v>193</x:v>
      </x:c>
      <x:c r="G496" t="str">
        <x:v>2026-02-12</x:v>
      </x:c>
      <x:c r="H496" t="str">
        <x:v>https://s26.q4cdn.com/410417801/files/doc_financials/2025/AR/2026-Travelers-Annual-Report-Final.pdf</x:v>
      </x:c>
      <x:c r="I496" t="str">
        <x:v>https://www.sec.gov/Archives/edgar/data/86312/000008631226000065/0000086312-26-000065-index.htm</x:v>
      </x:c>
      <x:c r="J496" t="str">
        <x:v>94fc0b121687402eac9a025d2701d2fe93c0789143797961ad6faad1c6dcb5b6</x:v>
      </x:c>
    </x:row>
    <x:row r="497">
      <x:c r="A497" t="n">
        <x:v>2024</x:v>
      </x:c>
      <x:c r="B497" t="str">
        <x:v>direct_written</x:v>
      </x:c>
      <x:c r="C497" s="1" t="n">
        <x:v>44377</x:v>
      </x:c>
      <x:c r="D497" t="str">
        <x:v>disclosed</x:v>
      </x:c>
      <x:c r="E497" t="str">
        <x:v>trv_ar_2025</x:v>
      </x:c>
      <x:c r="F497" t="n">
        <x:v>193</x:v>
      </x:c>
      <x:c r="G497" t="str">
        <x:v>2026-02-12</x:v>
      </x:c>
      <x:c r="H497" t="str">
        <x:v>https://s26.q4cdn.com/410417801/files/doc_financials/2025/AR/2026-Travelers-Annual-Report-Final.pdf</x:v>
      </x:c>
      <x:c r="I497" t="str">
        <x:v>https://www.sec.gov/Archives/edgar/data/86312/000008631226000065/0000086312-26-000065-index.htm</x:v>
      </x:c>
      <x:c r="J497" t="str">
        <x:v>94fc0b121687402eac9a025d2701d2fe93c0789143797961ad6faad1c6dcb5b6</x:v>
      </x:c>
    </x:row>
    <x:row r="498">
      <x:c r="A498" t="n">
        <x:v>2024</x:v>
      </x:c>
      <x:c r="B498" t="str">
        <x:v>dividends_cash</x:v>
      </x:c>
      <x:c r="C498" s="1" t="n">
        <x:v>951</x:v>
      </x:c>
      <x:c r="D498" t="str">
        <x:v>disclosed</x:v>
      </x:c>
      <x:c r="E498" t="str">
        <x:v>trv_ar_2025</x:v>
      </x:c>
      <x:c r="F498" t="n">
        <x:v>161</x:v>
      </x:c>
      <x:c r="G498" t="str">
        <x:v>2026-02-12</x:v>
      </x:c>
      <x:c r="H498" t="str">
        <x:v>https://s26.q4cdn.com/410417801/files/doc_financials/2025/AR/2026-Travelers-Annual-Report-Final.pdf</x:v>
      </x:c>
      <x:c r="I498" t="str">
        <x:v>https://www.sec.gov/Archives/edgar/data/86312/000008631226000065/0000086312-26-000065-index.htm</x:v>
      </x:c>
      <x:c r="J498" t="str">
        <x:v>94fc0b121687402eac9a025d2701d2fe93c0789143797961ad6faad1c6dcb5b6</x:v>
      </x:c>
    </x:row>
    <x:row r="499">
      <x:c r="A499" t="n">
        <x:v>2024</x:v>
      </x:c>
      <x:c r="B499" t="str">
        <x:v>employee_option_cash</x:v>
      </x:c>
      <x:c r="C499" s="1" t="n">
        <x:v>321</x:v>
      </x:c>
      <x:c r="D499" t="str">
        <x:v>disclosed</x:v>
      </x:c>
      <x:c r="E499" t="str">
        <x:v>trv_ar_2025</x:v>
      </x:c>
      <x:c r="F499" t="n">
        <x:v>161</x:v>
      </x:c>
      <x:c r="G499" t="str">
        <x:v>2026-02-12</x:v>
      </x:c>
      <x:c r="H499" t="str">
        <x:v>https://s26.q4cdn.com/410417801/files/doc_financials/2025/AR/2026-Travelers-Annual-Report-Final.pdf</x:v>
      </x:c>
      <x:c r="I499" t="str">
        <x:v>https://www.sec.gov/Archives/edgar/data/86312/000008631226000065/0000086312-26-000065-index.htm</x:v>
      </x:c>
      <x:c r="J499" t="str">
        <x:v>94fc0b121687402eac9a025d2701d2fe93c0789143797961ad6faad1c6dcb5b6</x:v>
      </x:c>
    </x:row>
    <x:row r="500">
      <x:c r="A500" t="n">
        <x:v>2024</x:v>
      </x:c>
      <x:c r="B500" t="str">
        <x:v>employee_share_net_cash</x:v>
      </x:c>
      <x:c r="C500" s="1" t="n">
        <x:v>114</x:v>
      </x:c>
      <x:c r="D500" t="str">
        <x:v>disclosed</x:v>
      </x:c>
      <x:c r="E500" t="str">
        <x:v>trv_ar_2025</x:v>
      </x:c>
      <x:c r="F500" t="n">
        <x:v>161</x:v>
      </x:c>
      <x:c r="G500" t="str">
        <x:v>2026-02-12</x:v>
      </x:c>
      <x:c r="H500" t="str">
        <x:v>https://s26.q4cdn.com/410417801/files/doc_financials/2025/AR/2026-Travelers-Annual-Report-Final.pdf</x:v>
      </x:c>
      <x:c r="I500" t="str">
        <x:v>https://www.sec.gov/Archives/edgar/data/86312/000008631226000065/0000086312-26-000065-index.htm</x:v>
      </x:c>
      <x:c r="J500" t="str">
        <x:v>94fc0b121687402eac9a025d2701d2fe93c0789143797961ad6faad1c6dcb5b6</x:v>
      </x:c>
    </x:row>
    <x:row r="501">
      <x:c r="A501" t="n">
        <x:v>2024</x:v>
      </x:c>
      <x:c r="B501" t="str">
        <x:v>employee_shares_equity</x:v>
      </x:c>
      <x:c r="C501" s="1" t="n">
        <x:v>286</x:v>
      </x:c>
      <x:c r="D501" t="str">
        <x:v>disclosed</x:v>
      </x:c>
      <x:c r="E501" t="str">
        <x:v>trv_ar_2025</x:v>
      </x:c>
      <x:c r="F501" t="n">
        <x:v>160</x:v>
      </x:c>
      <x:c r="G501" t="str">
        <x:v>2026-02-12</x:v>
      </x:c>
      <x:c r="H501" t="str">
        <x:v>https://s26.q4cdn.com/410417801/files/doc_financials/2025/AR/2026-Travelers-Annual-Report-Final.pdf</x:v>
      </x:c>
      <x:c r="I501" t="str">
        <x:v>https://www.sec.gov/Archives/edgar/data/86312/000008631226000065/0000086312-26-000065-index.htm</x:v>
      </x:c>
      <x:c r="J501" t="str">
        <x:v>94fc0b121687402eac9a025d2701d2fe93c0789143797961ad6faad1c6dcb5b6</x:v>
      </x:c>
    </x:row>
    <x:row r="502">
      <x:c r="A502" t="n">
        <x:v>2024</x:v>
      </x:c>
      <x:c r="B502" t="str">
        <x:v>equity</x:v>
      </x:c>
      <x:c r="C502" s="1" t="n">
        <x:v>27864</x:v>
      </x:c>
      <x:c r="D502" t="str">
        <x:v>disclosed</x:v>
      </x:c>
      <x:c r="E502" t="str">
        <x:v>trv_ar_2024</x:v>
      </x:c>
      <x:c r="F502" t="n">
        <x:v>150</x:v>
      </x:c>
      <x:c r="G502" t="str">
        <x:v>2025-02-13</x:v>
      </x:c>
      <x:c r="H502" t="str">
        <x:v>https://s26.q4cdn.com/410417801/files/doc_financials/2024/ar/v2/Travelers-2024-Annual-Report.pdf</x:v>
      </x:c>
      <x:c r="I502" t="str">
        <x:v>https://www.sec.gov/Archives/edgar/data/86312/000008631225000012/0000086312-25-000012-index.htm</x:v>
      </x:c>
      <x:c r="J502" t="str">
        <x:v>7a58a170cab4531d8e58266b98dbf26cba66bbe16c9a692c771f415a4c49d65c</x:v>
      </x:c>
    </x:row>
    <x:row r="503">
      <x:c r="A503" t="n">
        <x:v>2024</x:v>
      </x:c>
      <x:c r="B503" t="str">
        <x:v>equity_buybacks_authorized</x:v>
      </x:c>
      <x:c r="C503" s="1" t="n">
        <x:v>1000</x:v>
      </x:c>
      <x:c r="D503" t="str">
        <x:v>disclosed</x:v>
      </x:c>
      <x:c r="E503" t="str">
        <x:v>trv_ar_2025</x:v>
      </x:c>
      <x:c r="F503" t="n">
        <x:v>160</x:v>
      </x:c>
      <x:c r="G503" t="str">
        <x:v>2026-02-12</x:v>
      </x:c>
      <x:c r="H503" t="str">
        <x:v>https://s26.q4cdn.com/410417801/files/doc_financials/2025/AR/2026-Travelers-Annual-Report-Final.pdf</x:v>
      </x:c>
      <x:c r="I503" t="str">
        <x:v>https://www.sec.gov/Archives/edgar/data/86312/000008631226000065/0000086312-26-000065-index.htm</x:v>
      </x:c>
      <x:c r="J503" t="str">
        <x:v>94fc0b121687402eac9a025d2701d2fe93c0789143797961ad6faad1c6dcb5b6</x:v>
      </x:c>
    </x:row>
    <x:row r="504">
      <x:c r="A504" t="n">
        <x:v>2024</x:v>
      </x:c>
      <x:c r="B504" t="str">
        <x:v>equity_dividends</x:v>
      </x:c>
      <x:c r="C504" s="1" t="n">
        <x:v>962</x:v>
      </x:c>
      <x:c r="D504" t="str">
        <x:v>disclosed</x:v>
      </x:c>
      <x:c r="E504" t="str">
        <x:v>trv_ar_2025</x:v>
      </x:c>
      <x:c r="F504" t="n">
        <x:v>160</x:v>
      </x:c>
      <x:c r="G504" t="str">
        <x:v>2026-02-12</x:v>
      </x:c>
      <x:c r="H504" t="str">
        <x:v>https://s26.q4cdn.com/410417801/files/doc_financials/2025/AR/2026-Travelers-Annual-Report-Final.pdf</x:v>
      </x:c>
      <x:c r="I504" t="str">
        <x:v>https://www.sec.gov/Archives/edgar/data/86312/000008631226000065/0000086312-26-000065-index.htm</x:v>
      </x:c>
      <x:c r="J504" t="str">
        <x:v>94fc0b121687402eac9a025d2701d2fe93c0789143797961ad6faad1c6dcb5b6</x:v>
      </x:c>
    </x:row>
    <x:row r="505">
      <x:c r="A505" t="n">
        <x:v>2024</x:v>
      </x:c>
      <x:c r="B505" t="str">
        <x:v>equity_employee_treasury</x:v>
      </x:c>
      <x:c r="C505" s="1" t="n">
        <x:v>146</x:v>
      </x:c>
      <x:c r="D505" t="str">
        <x:v>disclosed</x:v>
      </x:c>
      <x:c r="E505" t="str">
        <x:v>trv_ar_2025</x:v>
      </x:c>
      <x:c r="F505" t="n">
        <x:v>160</x:v>
      </x:c>
      <x:c r="G505" t="str">
        <x:v>2026-02-12</x:v>
      </x:c>
      <x:c r="H505" t="str">
        <x:v>https://s26.q4cdn.com/410417801/files/doc_financials/2025/AR/2026-Travelers-Annual-Report-Final.pdf</x:v>
      </x:c>
      <x:c r="I505" t="str">
        <x:v>https://www.sec.gov/Archives/edgar/data/86312/000008631226000065/0000086312-26-000065-index.htm</x:v>
      </x:c>
      <x:c r="J505" t="str">
        <x:v>94fc0b121687402eac9a025d2701d2fe93c0789143797961ad6faad1c6dcb5b6</x:v>
      </x:c>
    </x:row>
    <x:row r="506">
      <x:c r="A506" t="n">
        <x:v>2024</x:v>
      </x:c>
      <x:c r="B506" t="str">
        <x:v>equity_investments</x:v>
      </x:c>
      <x:c r="C506" s="1" t="n">
        <x:v>687</x:v>
      </x:c>
      <x:c r="D506" t="str">
        <x:v>disclosed</x:v>
      </x:c>
      <x:c r="E506" t="str">
        <x:v>trv_ar_2024</x:v>
      </x:c>
      <x:c r="F506" t="n">
        <x:v>150</x:v>
      </x:c>
      <x:c r="G506" t="str">
        <x:v>2025-02-13</x:v>
      </x:c>
      <x:c r="H506" t="str">
        <x:v>https://s26.q4cdn.com/410417801/files/doc_financials/2024/ar/v2/Travelers-2024-Annual-Report.pdf</x:v>
      </x:c>
      <x:c r="I506" t="str">
        <x:v>https://www.sec.gov/Archives/edgar/data/86312/000008631225000012/0000086312-25-000012-index.htm</x:v>
      </x:c>
      <x:c r="J506" t="str">
        <x:v>7a58a170cab4531d8e58266b98dbf26cba66bbe16c9a692c771f415a4c49d65c</x:v>
      </x:c>
    </x:row>
    <x:row r="507">
      <x:c r="A507" t="n">
        <x:v>2024</x:v>
      </x:c>
      <x:c r="B507" t="str">
        <x:v>equity_security_purchases</x:v>
      </x:c>
      <x:c r="C507" s="1" t="n">
        <x:v>124</x:v>
      </x:c>
      <x:c r="D507" t="str">
        <x:v>disclosed</x:v>
      </x:c>
      <x:c r="E507" t="str">
        <x:v>trv_ar_2025</x:v>
      </x:c>
      <x:c r="F507" t="n">
        <x:v>161</x:v>
      </x:c>
      <x:c r="G507" t="str">
        <x:v>2026-02-12</x:v>
      </x:c>
      <x:c r="H507" t="str">
        <x:v>https://s26.q4cdn.com/410417801/files/doc_financials/2025/AR/2026-Travelers-Annual-Report-Final.pdf</x:v>
      </x:c>
      <x:c r="I507" t="str">
        <x:v>https://www.sec.gov/Archives/edgar/data/86312/000008631226000065/0000086312-26-000065-index.htm</x:v>
      </x:c>
      <x:c r="J507" t="str">
        <x:v>94fc0b121687402eac9a025d2701d2fe93c0789143797961ad6faad1c6dcb5b6</x:v>
      </x:c>
    </x:row>
    <x:row r="508">
      <x:c r="A508" t="n">
        <x:v>2024</x:v>
      </x:c>
      <x:c r="B508" t="str">
        <x:v>equity_security_sale_proceeds</x:v>
      </x:c>
      <x:c r="C508" s="1" t="n">
        <x:v>143</x:v>
      </x:c>
      <x:c r="D508" t="str">
        <x:v>disclosed</x:v>
      </x:c>
      <x:c r="E508" t="str">
        <x:v>trv_ar_2025</x:v>
      </x:c>
      <x:c r="F508" t="n">
        <x:v>161</x:v>
      </x:c>
      <x:c r="G508" t="str">
        <x:v>2026-02-12</x:v>
      </x:c>
      <x:c r="H508" t="str">
        <x:v>https://s26.q4cdn.com/410417801/files/doc_financials/2025/AR/2026-Travelers-Annual-Report-Final.pdf</x:v>
      </x:c>
      <x:c r="I508" t="str">
        <x:v>https://www.sec.gov/Archives/edgar/data/86312/000008631226000065/0000086312-26-000065-index.htm</x:v>
      </x:c>
      <x:c r="J508" t="str">
        <x:v>94fc0b121687402eac9a025d2701d2fe93c0789143797961ad6faad1c6dcb5b6</x:v>
      </x:c>
    </x:row>
    <x:row r="509">
      <x:c r="A509" t="n">
        <x:v>2024</x:v>
      </x:c>
      <x:c r="B509" t="str">
        <x:v>fee_income</x:v>
      </x:c>
      <x:c r="C509" s="1" t="n">
        <x:v>473</x:v>
      </x:c>
      <x:c r="D509" t="str">
        <x:v>disclosed</x:v>
      </x:c>
      <x:c r="E509" t="str">
        <x:v>trv_ar_2025</x:v>
      </x:c>
      <x:c r="F509" t="n">
        <x:v>157</x:v>
      </x:c>
      <x:c r="G509" t="str">
        <x:v>2026-02-12</x:v>
      </x:c>
      <x:c r="H509" t="str">
        <x:v>https://s26.q4cdn.com/410417801/files/doc_financials/2025/AR/2026-Travelers-Annual-Report-Final.pdf</x:v>
      </x:c>
      <x:c r="I509" t="str">
        <x:v>https://www.sec.gov/Archives/edgar/data/86312/000008631226000065/0000086312-26-000065-index.htm</x:v>
      </x:c>
      <x:c r="J509" t="str">
        <x:v>94fc0b121687402eac9a025d2701d2fe93c0789143797961ad6faad1c6dcb5b6</x:v>
      </x:c>
    </x:row>
    <x:row r="510">
      <x:c r="A510" t="n">
        <x:v>2024</x:v>
      </x:c>
      <x:c r="B510" t="str">
        <x:v>fixed_maturity_cost</x:v>
      </x:c>
      <x:c r="C510" s="1" t="n">
        <x:v>88277</x:v>
      </x:c>
      <x:c r="D510" t="str">
        <x:v>disclosed</x:v>
      </x:c>
      <x:c r="E510" t="str">
        <x:v>trv_ar_2024</x:v>
      </x:c>
      <x:c r="F510" t="n">
        <x:v>150</x:v>
      </x:c>
      <x:c r="G510" t="str">
        <x:v>2025-02-13</x:v>
      </x:c>
      <x:c r="H510" t="str">
        <x:v>https://s26.q4cdn.com/410417801/files/doc_financials/2024/ar/v2/Travelers-2024-Annual-Report.pdf</x:v>
      </x:c>
      <x:c r="I510" t="str">
        <x:v>https://www.sec.gov/Archives/edgar/data/86312/000008631225000012/0000086312-25-000012-index.htm</x:v>
      </x:c>
      <x:c r="J510" t="str">
        <x:v>7a58a170cab4531d8e58266b98dbf26cba66bbe16c9a692c771f415a4c49d65c</x:v>
      </x:c>
    </x:row>
    <x:row r="511">
      <x:c r="A511" t="n">
        <x:v>2024</x:v>
      </x:c>
      <x:c r="B511" t="str">
        <x:v>fixed_maturity_fair</x:v>
      </x:c>
      <x:c r="C511" s="1" t="n">
        <x:v>83666</x:v>
      </x:c>
      <x:c r="D511" t="str">
        <x:v>disclosed</x:v>
      </x:c>
      <x:c r="E511" t="str">
        <x:v>trv_ar_2024</x:v>
      </x:c>
      <x:c r="F511" t="n">
        <x:v>150</x:v>
      </x:c>
      <x:c r="G511" t="str">
        <x:v>2025-02-13</x:v>
      </x:c>
      <x:c r="H511" t="str">
        <x:v>https://s26.q4cdn.com/410417801/files/doc_financials/2024/ar/v2/Travelers-2024-Annual-Report.pdf</x:v>
      </x:c>
      <x:c r="I511" t="str">
        <x:v>https://www.sec.gov/Archives/edgar/data/86312/000008631225000012/0000086312-25-000012-index.htm</x:v>
      </x:c>
      <x:c r="J511" t="str">
        <x:v>7a58a170cab4531d8e58266b98dbf26cba66bbe16c9a692c771f415a4c49d65c</x:v>
      </x:c>
    </x:row>
    <x:row r="512">
      <x:c r="A512" t="n">
        <x:v>2024</x:v>
      </x:c>
      <x:c r="B512" t="str">
        <x:v>fixed_maturity_maturities</x:v>
      </x:c>
      <x:c r="C512" s="1" t="n">
        <x:v>8537</x:v>
      </x:c>
      <x:c r="D512" t="str">
        <x:v>disclosed</x:v>
      </x:c>
      <x:c r="E512" t="str">
        <x:v>trv_ar_2025</x:v>
      </x:c>
      <x:c r="F512" t="n">
        <x:v>161</x:v>
      </x:c>
      <x:c r="G512" t="str">
        <x:v>2026-02-12</x:v>
      </x:c>
      <x:c r="H512" t="str">
        <x:v>https://s26.q4cdn.com/410417801/files/doc_financials/2025/AR/2026-Travelers-Annual-Report-Final.pdf</x:v>
      </x:c>
      <x:c r="I512" t="str">
        <x:v>https://www.sec.gov/Archives/edgar/data/86312/000008631226000065/0000086312-26-000065-index.htm</x:v>
      </x:c>
      <x:c r="J512" t="str">
        <x:v>94fc0b121687402eac9a025d2701d2fe93c0789143797961ad6faad1c6dcb5b6</x:v>
      </x:c>
    </x:row>
    <x:row r="513">
      <x:c r="A513" t="n">
        <x:v>2024</x:v>
      </x:c>
      <x:c r="B513" t="str">
        <x:v>fixed_maturity_purchases</x:v>
      </x:c>
      <x:c r="C513" s="1" t="n">
        <x:v>17132</x:v>
      </x:c>
      <x:c r="D513" t="str">
        <x:v>disclosed</x:v>
      </x:c>
      <x:c r="E513" t="str">
        <x:v>trv_ar_2025</x:v>
      </x:c>
      <x:c r="F513" t="n">
        <x:v>161</x:v>
      </x:c>
      <x:c r="G513" t="str">
        <x:v>2026-02-12</x:v>
      </x:c>
      <x:c r="H513" t="str">
        <x:v>https://s26.q4cdn.com/410417801/files/doc_financials/2025/AR/2026-Travelers-Annual-Report-Final.pdf</x:v>
      </x:c>
      <x:c r="I513" t="str">
        <x:v>https://www.sec.gov/Archives/edgar/data/86312/000008631226000065/0000086312-26-000065-index.htm</x:v>
      </x:c>
      <x:c r="J513" t="str">
        <x:v>94fc0b121687402eac9a025d2701d2fe93c0789143797961ad6faad1c6dcb5b6</x:v>
      </x:c>
    </x:row>
    <x:row r="514">
      <x:c r="A514" t="n">
        <x:v>2024</x:v>
      </x:c>
      <x:c r="B514" t="str">
        <x:v>fixed_maturity_sale_proceeds</x:v>
      </x:c>
      <x:c r="C514" s="1" t="n">
        <x:v>1634</x:v>
      </x:c>
      <x:c r="D514" t="str">
        <x:v>disclosed</x:v>
      </x:c>
      <x:c r="E514" t="str">
        <x:v>trv_ar_2025</x:v>
      </x:c>
      <x:c r="F514" t="n">
        <x:v>161</x:v>
      </x:c>
      <x:c r="G514" t="str">
        <x:v>2026-02-12</x:v>
      </x:c>
      <x:c r="H514" t="str">
        <x:v>https://s26.q4cdn.com/410417801/files/doc_financials/2025/AR/2026-Travelers-Annual-Report-Final.pdf</x:v>
      </x:c>
      <x:c r="I514" t="str">
        <x:v>https://www.sec.gov/Archives/edgar/data/86312/000008631226000065/0000086312-26-000065-index.htm</x:v>
      </x:c>
      <x:c r="J514" t="str">
        <x:v>94fc0b121687402eac9a025d2701d2fe93c0789143797961ad6faad1c6dcb5b6</x:v>
      </x:c>
    </x:row>
    <x:row r="515">
      <x:c r="A515" t="n">
        <x:v>2024</x:v>
      </x:c>
      <x:c r="B515" t="str">
        <x:v>general_admin</x:v>
      </x:c>
      <x:c r="C515" s="1" t="n">
        <x:v>5819</x:v>
      </x:c>
      <x:c r="D515" t="str">
        <x:v>disclosed</x:v>
      </x:c>
      <x:c r="E515" t="str">
        <x:v>trv_ar_2025</x:v>
      </x:c>
      <x:c r="F515" t="n">
        <x:v>157</x:v>
      </x:c>
      <x:c r="G515" t="str">
        <x:v>2026-02-12</x:v>
      </x:c>
      <x:c r="H515" t="str">
        <x:v>https://s26.q4cdn.com/410417801/files/doc_financials/2025/AR/2026-Travelers-Annual-Report-Final.pdf</x:v>
      </x:c>
      <x:c r="I515" t="str">
        <x:v>https://www.sec.gov/Archives/edgar/data/86312/000008631226000065/0000086312-26-000065-index.htm</x:v>
      </x:c>
      <x:c r="J515" t="str">
        <x:v>94fc0b121687402eac9a025d2701d2fe93c0789143797961ad6faad1c6dcb5b6</x:v>
      </x:c>
    </x:row>
    <x:row r="516">
      <x:c r="A516" t="n">
        <x:v>2024</x:v>
      </x:c>
      <x:c r="B516" t="str">
        <x:v>goodwill</x:v>
      </x:c>
      <x:c r="C516" s="1" t="n">
        <x:v>4233</x:v>
      </x:c>
      <x:c r="D516" t="str">
        <x:v>disclosed</x:v>
      </x:c>
      <x:c r="E516" t="str">
        <x:v>trv_ar_2025</x:v>
      </x:c>
      <x:c r="F516" t="n">
        <x:v>159</x:v>
      </x:c>
      <x:c r="G516" t="str">
        <x:v>2026-02-12</x:v>
      </x:c>
      <x:c r="H516" t="str">
        <x:v>https://s26.q4cdn.com/410417801/files/doc_financials/2025/AR/2026-Travelers-Annual-Report-Final.pdf</x:v>
      </x:c>
      <x:c r="I516" t="str">
        <x:v>https://www.sec.gov/Archives/edgar/data/86312/000008631226000065/0000086312-26-000065-index.htm</x:v>
      </x:c>
      <x:c r="J516" t="str">
        <x:v>94fc0b121687402eac9a025d2701d2fe93c0789143797961ad6faad1c6dcb5b6</x:v>
      </x:c>
    </x:row>
    <x:row r="517">
      <x:c r="A517" t="n">
        <x:v>2024</x:v>
      </x:c>
      <x:c r="B517" t="str">
        <x:v>gross_earned</x:v>
      </x:c>
      <x:c r="C517" s="1" t="n">
        <x:v>45078</x:v>
      </x:c>
      <x:c r="D517" t="str">
        <x:v>derived</x:v>
      </x:c>
      <x:c r="E517" t="str">
        <x:v>trv_ar_2025</x:v>
      </x:c>
      <x:c r="F517" t="n">
        <x:v>193</x:v>
      </x:c>
      <x:c r="G517" t="str">
        <x:v>2026-02-12</x:v>
      </x:c>
      <x:c r="H517" t="str">
        <x:v>https://s26.q4cdn.com/410417801/files/doc_financials/2025/AR/2026-Travelers-Annual-Report-Final.pdf</x:v>
      </x:c>
      <x:c r="I517" t="str">
        <x:v>https://www.sec.gov/Archives/edgar/data/86312/000008631226000065/0000086312-26-000065-index.htm</x:v>
      </x:c>
      <x:c r="J517" t="str">
        <x:v>94fc0b121687402eac9a025d2701d2fe93c0789143797961ad6faad1c6dcb5b6</x:v>
      </x:c>
    </x:row>
    <x:row r="518">
      <x:c r="A518" t="n">
        <x:v>2024</x:v>
      </x:c>
      <x:c r="B518" t="str">
        <x:v>gross_reserves</x:v>
      </x:c>
      <x:c r="C518" s="1" t="n">
        <x:v>64088</x:v>
      </x:c>
      <x:c r="D518" t="str">
        <x:v>disclosed</x:v>
      </x:c>
      <x:c r="E518" t="str">
        <x:v>trv_ar_2025</x:v>
      </x:c>
      <x:c r="F518" t="n">
        <x:v>195</x:v>
      </x:c>
      <x:c r="G518" t="str">
        <x:v>2026-02-12</x:v>
      </x:c>
      <x:c r="H518" t="str">
        <x:v>https://s26.q4cdn.com/410417801/files/doc_financials/2025/AR/2026-Travelers-Annual-Report-Final.pdf</x:v>
      </x:c>
      <x:c r="I518" t="str">
        <x:v>https://www.sec.gov/Archives/edgar/data/86312/000008631226000065/0000086312-26-000065-index.htm</x:v>
      </x:c>
      <x:c r="J518" t="str">
        <x:v>94fc0b121687402eac9a025d2701d2fe93c0789143797961ad6faad1c6dcb5b6</x:v>
      </x:c>
    </x:row>
    <x:row r="519">
      <x:c r="A519" t="n">
        <x:v>2024</x:v>
      </x:c>
      <x:c r="B519" t="str">
        <x:v>gross_upr</x:v>
      </x:c>
      <x:c r="C519" s="1" t="n">
        <x:v>22289</x:v>
      </x:c>
      <x:c r="D519" t="str">
        <x:v>disclosed</x:v>
      </x:c>
      <x:c r="E519" t="str">
        <x:v>trv_ar_2024</x:v>
      </x:c>
      <x:c r="F519" t="n">
        <x:v>150</x:v>
      </x:c>
      <x:c r="G519" t="str">
        <x:v>2025-02-13</x:v>
      </x:c>
      <x:c r="H519" t="str">
        <x:v>https://s26.q4cdn.com/410417801/files/doc_financials/2024/ar/v2/Travelers-2024-Annual-Report.pdf</x:v>
      </x:c>
      <x:c r="I519" t="str">
        <x:v>https://www.sec.gov/Archives/edgar/data/86312/000008631225000012/0000086312-25-000012-index.htm</x:v>
      </x:c>
      <x:c r="J519" t="str">
        <x:v>7a58a170cab4531d8e58266b98dbf26cba66bbe16c9a692c771f415a4c49d65c</x:v>
      </x:c>
    </x:row>
    <x:row r="520">
      <x:c r="A520" t="n">
        <x:v>2024</x:v>
      </x:c>
      <x:c r="B520" t="str">
        <x:v>gwp</x:v>
      </x:c>
      <x:c r="C520" s="1" t="n">
        <x:v>46550</x:v>
      </x:c>
      <x:c r="D520" t="str">
        <x:v>derived</x:v>
      </x:c>
      <x:c r="E520" t="str">
        <x:v>trv_ar_2025</x:v>
      </x:c>
      <x:c r="F520" t="n">
        <x:v>193</x:v>
      </x:c>
      <x:c r="G520" t="str">
        <x:v>2026-02-12</x:v>
      </x:c>
      <x:c r="H520" t="str">
        <x:v>https://s26.q4cdn.com/410417801/files/doc_financials/2025/AR/2026-Travelers-Annual-Report-Final.pdf</x:v>
      </x:c>
      <x:c r="I520" t="str">
        <x:v>https://www.sec.gov/Archives/edgar/data/86312/000008631226000065/0000086312-26-000065-index.htm</x:v>
      </x:c>
      <x:c r="J520" t="str">
        <x:v>94fc0b121687402eac9a025d2701d2fe93c0789143797961ad6faad1c6dcb5b6</x:v>
      </x:c>
    </x:row>
    <x:row r="521">
      <x:c r="A521" t="n">
        <x:v>2024</x:v>
      </x:c>
      <x:c r="B521" t="str">
        <x:v>intangible_assets</x:v>
      </x:c>
      <x:c r="C521" s="1" t="n">
        <x:v>360</x:v>
      </x:c>
      <x:c r="D521" t="str">
        <x:v>disclosed</x:v>
      </x:c>
      <x:c r="E521" t="str">
        <x:v>trv_ar_2025</x:v>
      </x:c>
      <x:c r="F521" t="n">
        <x:v>159</x:v>
      </x:c>
      <x:c r="G521" t="str">
        <x:v>2026-02-12</x:v>
      </x:c>
      <x:c r="H521" t="str">
        <x:v>https://s26.q4cdn.com/410417801/files/doc_financials/2025/AR/2026-Travelers-Annual-Report-Final.pdf</x:v>
      </x:c>
      <x:c r="I521" t="str">
        <x:v>https://www.sec.gov/Archives/edgar/data/86312/000008631226000065/0000086312-26-000065-index.htm</x:v>
      </x:c>
      <x:c r="J521" t="str">
        <x:v>94fc0b121687402eac9a025d2701d2fe93c0789143797961ad6faad1c6dcb5b6</x:v>
      </x:c>
    </x:row>
    <x:row r="522">
      <x:c r="A522" t="n">
        <x:v>2024</x:v>
      </x:c>
      <x:c r="B522" t="str">
        <x:v>interest_expense</x:v>
      </x:c>
      <x:c r="C522" s="1" t="n">
        <x:v>392</x:v>
      </x:c>
      <x:c r="D522" t="str">
        <x:v>disclosed</x:v>
      </x:c>
      <x:c r="E522" t="str">
        <x:v>trv_ar_2025</x:v>
      </x:c>
      <x:c r="F522" t="n">
        <x:v>157</x:v>
      </x:c>
      <x:c r="G522" t="str">
        <x:v>2026-02-12</x:v>
      </x:c>
      <x:c r="H522" t="str">
        <x:v>https://s26.q4cdn.com/410417801/files/doc_financials/2025/AR/2026-Travelers-Annual-Report-Final.pdf</x:v>
      </x:c>
      <x:c r="I522" t="str">
        <x:v>https://www.sec.gov/Archives/edgar/data/86312/000008631226000065/0000086312-26-000065-index.htm</x:v>
      </x:c>
      <x:c r="J522" t="str">
        <x:v>94fc0b121687402eac9a025d2701d2fe93c0789143797961ad6faad1c6dcb5b6</x:v>
      </x:c>
    </x:row>
    <x:row r="523">
      <x:c r="A523" t="n">
        <x:v>2024</x:v>
      </x:c>
      <x:c r="B523" t="str">
        <x:v>investment_income</x:v>
      </x:c>
      <x:c r="C523" s="1" t="n">
        <x:v>3590</x:v>
      </x:c>
      <x:c r="D523" t="str">
        <x:v>disclosed</x:v>
      </x:c>
      <x:c r="E523" t="str">
        <x:v>trv_ar_2025</x:v>
      </x:c>
      <x:c r="F523" t="n">
        <x:v>157</x:v>
      </x:c>
      <x:c r="G523" t="str">
        <x:v>2026-02-12</x:v>
      </x:c>
      <x:c r="H523" t="str">
        <x:v>https://s26.q4cdn.com/410417801/files/doc_financials/2025/AR/2026-Travelers-Annual-Report-Final.pdf</x:v>
      </x:c>
      <x:c r="I523" t="str">
        <x:v>https://www.sec.gov/Archives/edgar/data/86312/000008631226000065/0000086312-26-000065-index.htm</x:v>
      </x:c>
      <x:c r="J523" t="str">
        <x:v>94fc0b121687402eac9a025d2701d2fe93c0789143797961ad6faad1c6dcb5b6</x:v>
      </x:c>
    </x:row>
    <x:row r="524">
      <x:c r="A524" t="n">
        <x:v>2024</x:v>
      </x:c>
      <x:c r="B524" t="str">
        <x:v>nep</x:v>
      </x:c>
      <x:c r="C524" s="1" t="n">
        <x:v>41941</x:v>
      </x:c>
      <x:c r="D524" t="str">
        <x:v>disclosed</x:v>
      </x:c>
      <x:c r="E524" t="str">
        <x:v>trv_ar_2025</x:v>
      </x:c>
      <x:c r="F524" t="n">
        <x:v>193</x:v>
      </x:c>
      <x:c r="G524" t="str">
        <x:v>2026-02-12</x:v>
      </x:c>
      <x:c r="H524" t="str">
        <x:v>https://s26.q4cdn.com/410417801/files/doc_financials/2025/AR/2026-Travelers-Annual-Report-Final.pdf</x:v>
      </x:c>
      <x:c r="I524" t="str">
        <x:v>https://www.sec.gov/Archives/edgar/data/86312/000008631226000065/0000086312-26-000065-index.htm</x:v>
      </x:c>
      <x:c r="J524" t="str">
        <x:v>94fc0b121687402eac9a025d2701d2fe93c0789143797961ad6faad1c6dcb5b6</x:v>
      </x:c>
    </x:row>
    <x:row r="525">
      <x:c r="A525" t="n">
        <x:v>2024</x:v>
      </x:c>
      <x:c r="B525" t="str">
        <x:v>net_income</x:v>
      </x:c>
      <x:c r="C525" s="1" t="n">
        <x:v>4999</x:v>
      </x:c>
      <x:c r="D525" t="str">
        <x:v>disclosed</x:v>
      </x:c>
      <x:c r="E525" t="str">
        <x:v>trv_ar_2025</x:v>
      </x:c>
      <x:c r="F525" t="n">
        <x:v>157</x:v>
      </x:c>
      <x:c r="G525" t="str">
        <x:v>2026-02-12</x:v>
      </x:c>
      <x:c r="H525" t="str">
        <x:v>https://s26.q4cdn.com/410417801/files/doc_financials/2025/AR/2026-Travelers-Annual-Report-Final.pdf</x:v>
      </x:c>
      <x:c r="I525" t="str">
        <x:v>https://www.sec.gov/Archives/edgar/data/86312/000008631226000065/0000086312-26-000065-index.htm</x:v>
      </x:c>
      <x:c r="J525" t="str">
        <x:v>94fc0b121687402eac9a025d2701d2fe93c0789143797961ad6faad1c6dcb5b6</x:v>
      </x:c>
    </x:row>
    <x:row r="526">
      <x:c r="A526" t="n">
        <x:v>2024</x:v>
      </x:c>
      <x:c r="B526" t="str">
        <x:v>net_reserves</x:v>
      </x:c>
      <x:c r="C526" s="1" t="n">
        <x:v>56419</x:v>
      </x:c>
      <x:c r="D526" t="str">
        <x:v>disclosed</x:v>
      </x:c>
      <x:c r="E526" t="str">
        <x:v>trv_ar_2025</x:v>
      </x:c>
      <x:c r="F526" t="n">
        <x:v>195</x:v>
      </x:c>
      <x:c r="G526" t="str">
        <x:v>2026-02-12</x:v>
      </x:c>
      <x:c r="H526" t="str">
        <x:v>https://s26.q4cdn.com/410417801/files/doc_financials/2025/AR/2026-Travelers-Annual-Report-Final.pdf</x:v>
      </x:c>
      <x:c r="I526" t="str">
        <x:v>https://www.sec.gov/Archives/edgar/data/86312/000008631226000065/0000086312-26-000065-index.htm</x:v>
      </x:c>
      <x:c r="J526" t="str">
        <x:v>94fc0b121687402eac9a025d2701d2fe93c0789143797961ad6faad1c6dcb5b6</x:v>
      </x:c>
    </x:row>
    <x:row r="527">
      <x:c r="A527" t="n">
        <x:v>2024</x:v>
      </x:c>
      <x:c r="B527" t="str">
        <x:v>net_upr</x:v>
      </x:c>
      <x:c r="C527" s="1" t="n">
        <x:v>21087</x:v>
      </x:c>
      <x:c r="D527" t="str">
        <x:v>derived</x:v>
      </x:c>
      <x:c r="E527" t="str">
        <x:v>trv_ar_2024</x:v>
      </x:c>
      <x:c r="F527" t="n">
        <x:v>150</x:v>
      </x:c>
      <x:c r="G527" t="str">
        <x:v>2025-02-13</x:v>
      </x:c>
      <x:c r="H527" t="str">
        <x:v>https://s26.q4cdn.com/410417801/files/doc_financials/2024/ar/v2/Travelers-2024-Annual-Report.pdf</x:v>
      </x:c>
      <x:c r="I527" t="str">
        <x:v>https://www.sec.gov/Archives/edgar/data/86312/000008631225000012/0000086312-25-000012-index.htm</x:v>
      </x:c>
      <x:c r="J527" t="str">
        <x:v>7a58a170cab4531d8e58266b98dbf26cba66bbe16c9a692c771f415a4c49d65c</x:v>
      </x:c>
    </x:row>
    <x:row r="528">
      <x:c r="A528" t="n">
        <x:v>2024</x:v>
      </x:c>
      <x:c r="B528" t="str">
        <x:v>nwp</x:v>
      </x:c>
      <x:c r="C528" s="1" t="n">
        <x:v>43356</x:v>
      </x:c>
      <x:c r="D528" t="str">
        <x:v>disclosed</x:v>
      </x:c>
      <x:c r="E528" t="str">
        <x:v>trv_ar_2025</x:v>
      </x:c>
      <x:c r="F528" t="n">
        <x:v>193</x:v>
      </x:c>
      <x:c r="G528" t="str">
        <x:v>2026-02-12</x:v>
      </x:c>
      <x:c r="H528" t="str">
        <x:v>https://s26.q4cdn.com/410417801/files/doc_financials/2025/AR/2026-Travelers-Annual-Report-Final.pdf</x:v>
      </x:c>
      <x:c r="I528" t="str">
        <x:v>https://www.sec.gov/Archives/edgar/data/86312/000008631226000065/0000086312-26-000065-index.htm</x:v>
      </x:c>
      <x:c r="J528" t="str">
        <x:v>94fc0b121687402eac9a025d2701d2fe93c0789143797961ad6faad1c6dcb5b6</x:v>
      </x:c>
    </x:row>
    <x:row r="529">
      <x:c r="A529" t="n">
        <x:v>2024</x:v>
      </x:c>
      <x:c r="B529" t="str">
        <x:v>opening_equity</x:v>
      </x:c>
      <x:c r="C529" s="1" t="n">
        <x:v>24921</x:v>
      </x:c>
      <x:c r="D529" t="str">
        <x:v>derived</x:v>
      </x:c>
      <x:c r="E529" t="str">
        <x:v>trv_ar_2025</x:v>
      </x:c>
      <x:c r="F529" t="n">
        <x:v>160</x:v>
      </x:c>
      <x:c r="G529" t="str">
        <x:v>2026-02-12</x:v>
      </x:c>
      <x:c r="H529" t="str">
        <x:v>https://s26.q4cdn.com/410417801/files/doc_financials/2025/AR/2026-Travelers-Annual-Report-Final.pdf</x:v>
      </x:c>
      <x:c r="I529" t="str">
        <x:v>https://www.sec.gov/Archives/edgar/data/86312/000008631226000065/0000086312-26-000065-index.htm</x:v>
      </x:c>
      <x:c r="J529" t="str">
        <x:v>94fc0b121687402eac9a025d2701d2fe93c0789143797961ad6faad1c6dcb5b6</x:v>
      </x:c>
    </x:row>
    <x:row r="530">
      <x:c r="A530" t="n">
        <x:v>2024</x:v>
      </x:c>
      <x:c r="B530" t="str">
        <x:v>other_assets</x:v>
      </x:c>
      <x:c r="C530" s="1" t="n">
        <x:v>4183</x:v>
      </x:c>
      <x:c r="D530" t="str">
        <x:v>disclosed</x:v>
      </x:c>
      <x:c r="E530" t="str">
        <x:v>trv_ar_2025</x:v>
      </x:c>
      <x:c r="F530" t="n">
        <x:v>159</x:v>
      </x:c>
      <x:c r="G530" t="str">
        <x:v>2026-02-12</x:v>
      </x:c>
      <x:c r="H530" t="str">
        <x:v>https://s26.q4cdn.com/410417801/files/doc_financials/2025/AR/2026-Travelers-Annual-Report-Final.pdf</x:v>
      </x:c>
      <x:c r="I530" t="str">
        <x:v>https://www.sec.gov/Archives/edgar/data/86312/000008631226000065/0000086312-26-000065-index.htm</x:v>
      </x:c>
      <x:c r="J530" t="str">
        <x:v>94fc0b121687402eac9a025d2701d2fe93c0789143797961ad6faad1c6dcb5b6</x:v>
      </x:c>
    </x:row>
    <x:row r="531">
      <x:c r="A531" t="n">
        <x:v>2024</x:v>
      </x:c>
      <x:c r="B531" t="str">
        <x:v>other_investment_purchases</x:v>
      </x:c>
      <x:c r="C531" s="1" t="n">
        <x:v>396</x:v>
      </x:c>
      <x:c r="D531" t="str">
        <x:v>disclosed</x:v>
      </x:c>
      <x:c r="E531" t="str">
        <x:v>trv_ar_2025</x:v>
      </x:c>
      <x:c r="F531" t="n">
        <x:v>161</x:v>
      </x:c>
      <x:c r="G531" t="str">
        <x:v>2026-02-12</x:v>
      </x:c>
      <x:c r="H531" t="str">
        <x:v>https://s26.q4cdn.com/410417801/files/doc_financials/2025/AR/2026-Travelers-Annual-Report-Final.pdf</x:v>
      </x:c>
      <x:c r="I531" t="str">
        <x:v>https://www.sec.gov/Archives/edgar/data/86312/000008631226000065/0000086312-26-000065-index.htm</x:v>
      </x:c>
      <x:c r="J531" t="str">
        <x:v>94fc0b121687402eac9a025d2701d2fe93c0789143797961ad6faad1c6dcb5b6</x:v>
      </x:c>
    </x:row>
    <x:row r="532">
      <x:c r="A532" t="n">
        <x:v>2024</x:v>
      </x:c>
      <x:c r="B532" t="str">
        <x:v>other_investment_sale_proceeds</x:v>
      </x:c>
      <x:c r="C532" s="1" t="n">
        <x:v>422</x:v>
      </x:c>
      <x:c r="D532" t="str">
        <x:v>disclosed</x:v>
      </x:c>
      <x:c r="E532" t="str">
        <x:v>trv_ar_2025</x:v>
      </x:c>
      <x:c r="F532" t="n">
        <x:v>161</x:v>
      </x:c>
      <x:c r="G532" t="str">
        <x:v>2026-02-12</x:v>
      </x:c>
      <x:c r="H532" t="str">
        <x:v>https://s26.q4cdn.com/410417801/files/doc_financials/2025/AR/2026-Travelers-Annual-Report-Final.pdf</x:v>
      </x:c>
      <x:c r="I532" t="str">
        <x:v>https://www.sec.gov/Archives/edgar/data/86312/000008631226000065/0000086312-26-000065-index.htm</x:v>
      </x:c>
      <x:c r="J532" t="str">
        <x:v>94fc0b121687402eac9a025d2701d2fe93c0789143797961ad6faad1c6dcb5b6</x:v>
      </x:c>
    </x:row>
    <x:row r="533">
      <x:c r="A533" t="n">
        <x:v>2024</x:v>
      </x:c>
      <x:c r="B533" t="str">
        <x:v>other_investments</x:v>
      </x:c>
      <x:c r="C533" s="1" t="n">
        <x:v>4202</x:v>
      </x:c>
      <x:c r="D533" t="str">
        <x:v>disclosed</x:v>
      </x:c>
      <x:c r="E533" t="str">
        <x:v>trv_ar_2024</x:v>
      </x:c>
      <x:c r="F533" t="n">
        <x:v>150</x:v>
      </x:c>
      <x:c r="G533" t="str">
        <x:v>2025-02-13</x:v>
      </x:c>
      <x:c r="H533" t="str">
        <x:v>https://s26.q4cdn.com/410417801/files/doc_financials/2024/ar/v2/Travelers-2024-Annual-Report.pdf</x:v>
      </x:c>
      <x:c r="I533" t="str">
        <x:v>https://www.sec.gov/Archives/edgar/data/86312/000008631225000012/0000086312-25-000012-index.htm</x:v>
      </x:c>
      <x:c r="J533" t="str">
        <x:v>7a58a170cab4531d8e58266b98dbf26cba66bbe16c9a692c771f415a4c49d65c</x:v>
      </x:c>
    </x:row>
    <x:row r="534">
      <x:c r="A534" t="n">
        <x:v>2024</x:v>
      </x:c>
      <x:c r="B534" t="str">
        <x:v>other_liabilities</x:v>
      </x:c>
      <x:c r="C534" s="1" t="n">
        <x:v>7171</x:v>
      </x:c>
      <x:c r="D534" t="str">
        <x:v>disclosed</x:v>
      </x:c>
      <x:c r="E534" t="str">
        <x:v>trv_ar_2025</x:v>
      </x:c>
      <x:c r="F534" t="n">
        <x:v>159</x:v>
      </x:c>
      <x:c r="G534" t="str">
        <x:v>2026-02-12</x:v>
      </x:c>
      <x:c r="H534" t="str">
        <x:v>https://s26.q4cdn.com/410417801/files/doc_financials/2025/AR/2026-Travelers-Annual-Report-Final.pdf</x:v>
      </x:c>
      <x:c r="I534" t="str">
        <x:v>https://www.sec.gov/Archives/edgar/data/86312/000008631226000065/0000086312-26-000065-index.htm</x:v>
      </x:c>
      <x:c r="J534" t="str">
        <x:v>94fc0b121687402eac9a025d2701d2fe93c0789143797961ad6faad1c6dcb5b6</x:v>
      </x:c>
    </x:row>
    <x:row r="535">
      <x:c r="A535" t="n">
        <x:v>2024</x:v>
      </x:c>
      <x:c r="B535" t="str">
        <x:v>other_revenue</x:v>
      </x:c>
      <x:c r="C535" s="1" t="n">
        <x:v>449</x:v>
      </x:c>
      <x:c r="D535" t="str">
        <x:v>disclosed</x:v>
      </x:c>
      <x:c r="E535" t="str">
        <x:v>trv_ar_2025</x:v>
      </x:c>
      <x:c r="F535" t="n">
        <x:v>157</x:v>
      </x:c>
      <x:c r="G535" t="str">
        <x:v>2026-02-12</x:v>
      </x:c>
      <x:c r="H535" t="str">
        <x:v>https://s26.q4cdn.com/410417801/files/doc_financials/2025/AR/2026-Travelers-Annual-Report-Final.pdf</x:v>
      </x:c>
      <x:c r="I535" t="str">
        <x:v>https://www.sec.gov/Archives/edgar/data/86312/000008631226000065/0000086312-26-000065-index.htm</x:v>
      </x:c>
      <x:c r="J535" t="str">
        <x:v>94fc0b121687402eac9a025d2701d2fe93c0789143797961ad6faad1c6dcb5b6</x:v>
      </x:c>
    </x:row>
    <x:row r="536">
      <x:c r="A536" t="n">
        <x:v>2024</x:v>
      </x:c>
      <x:c r="B536" t="str">
        <x:v>paid_current</x:v>
      </x:c>
      <x:c r="C536" s="1" t="n">
        <x:v>10924</x:v>
      </x:c>
      <x:c r="D536" t="str">
        <x:v>disclosed</x:v>
      </x:c>
      <x:c r="E536" t="str">
        <x:v>trv_ar_2025</x:v>
      </x:c>
      <x:c r="F536" t="n">
        <x:v>195</x:v>
      </x:c>
      <x:c r="G536" t="str">
        <x:v>2026-02-12</x:v>
      </x:c>
      <x:c r="H536" t="str">
        <x:v>https://s26.q4cdn.com/410417801/files/doc_financials/2025/AR/2026-Travelers-Annual-Report-Final.pdf</x:v>
      </x:c>
      <x:c r="I536" t="str">
        <x:v>https://www.sec.gov/Archives/edgar/data/86312/000008631226000065/0000086312-26-000065-index.htm</x:v>
      </x:c>
      <x:c r="J536" t="str">
        <x:v>94fc0b121687402eac9a025d2701d2fe93c0789143797961ad6faad1c6dcb5b6</x:v>
      </x:c>
    </x:row>
    <x:row r="537">
      <x:c r="A537" t="n">
        <x:v>2024</x:v>
      </x:c>
      <x:c r="B537" t="str">
        <x:v>paid_prior</x:v>
      </x:c>
      <x:c r="C537" s="1" t="n">
        <x:v>13227</x:v>
      </x:c>
      <x:c r="D537" t="str">
        <x:v>disclosed</x:v>
      </x:c>
      <x:c r="E537" t="str">
        <x:v>trv_ar_2025</x:v>
      </x:c>
      <x:c r="F537" t="n">
        <x:v>195</x:v>
      </x:c>
      <x:c r="G537" t="str">
        <x:v>2026-02-12</x:v>
      </x:c>
      <x:c r="H537" t="str">
        <x:v>https://s26.q4cdn.com/410417801/files/doc_financials/2025/AR/2026-Travelers-Annual-Report-Final.pdf</x:v>
      </x:c>
      <x:c r="I537" t="str">
        <x:v>https://www.sec.gov/Archives/edgar/data/86312/000008631226000065/0000086312-26-000065-index.htm</x:v>
      </x:c>
      <x:c r="J537" t="str">
        <x:v>94fc0b121687402eac9a025d2701d2fe93c0789143797961ad6faad1c6dcb5b6</x:v>
      </x:c>
    </x:row>
    <x:row r="538">
      <x:c r="A538" t="n">
        <x:v>2024</x:v>
      </x:c>
      <x:c r="B538" t="str">
        <x:v>premium_receivables</x:v>
      </x:c>
      <x:c r="C538" s="1" t="n">
        <x:v>11110</x:v>
      </x:c>
      <x:c r="D538" t="str">
        <x:v>disclosed</x:v>
      </x:c>
      <x:c r="E538" t="str">
        <x:v>trv_ar_2024</x:v>
      </x:c>
      <x:c r="F538" t="n">
        <x:v>150</x:v>
      </x:c>
      <x:c r="G538" t="str">
        <x:v>2025-02-13</x:v>
      </x:c>
      <x:c r="H538" t="str">
        <x:v>https://s26.q4cdn.com/410417801/files/doc_financials/2024/ar/v2/Travelers-2024-Annual-Report.pdf</x:v>
      </x:c>
      <x:c r="I538" t="str">
        <x:v>https://www.sec.gov/Archives/edgar/data/86312/000008631225000012/0000086312-25-000012-index.htm</x:v>
      </x:c>
      <x:c r="J538" t="str">
        <x:v>7a58a170cab4531d8e58266b98dbf26cba66bbe16c9a692c771f415a4c49d65c</x:v>
      </x:c>
    </x:row>
    <x:row r="539">
      <x:c r="A539" t="n">
        <x:v>2024</x:v>
      </x:c>
      <x:c r="B539" t="str">
        <x:v>pretax_income</x:v>
      </x:c>
      <x:c r="C539" s="1" t="n">
        <x:v>6180</x:v>
      </x:c>
      <x:c r="D539" t="str">
        <x:v>disclosed</x:v>
      </x:c>
      <x:c r="E539" t="str">
        <x:v>trv_ar_2025</x:v>
      </x:c>
      <x:c r="F539" t="n">
        <x:v>157</x:v>
      </x:c>
      <x:c r="G539" t="str">
        <x:v>2026-02-12</x:v>
      </x:c>
      <x:c r="H539" t="str">
        <x:v>https://s26.q4cdn.com/410417801/files/doc_financials/2025/AR/2026-Travelers-Annual-Report-Final.pdf</x:v>
      </x:c>
      <x:c r="I539" t="str">
        <x:v>https://www.sec.gov/Archives/edgar/data/86312/000008631226000065/0000086312-26-000065-index.htm</x:v>
      </x:c>
      <x:c r="J539" t="str">
        <x:v>94fc0b121687402eac9a025d2701d2fe93c0789143797961ad6faad1c6dcb5b6</x:v>
      </x:c>
    </x:row>
    <x:row r="540">
      <x:c r="A540" t="n">
        <x:v>2024</x:v>
      </x:c>
      <x:c r="B540" t="str">
        <x:v>real_estate_investments</x:v>
      </x:c>
      <x:c r="C540" s="1" t="n">
        <x:v>902</x:v>
      </x:c>
      <x:c r="D540" t="str">
        <x:v>disclosed</x:v>
      </x:c>
      <x:c r="E540" t="str">
        <x:v>trv_ar_2024</x:v>
      </x:c>
      <x:c r="F540" t="n">
        <x:v>150</x:v>
      </x:c>
      <x:c r="G540" t="str">
        <x:v>2025-02-13</x:v>
      </x:c>
      <x:c r="H540" t="str">
        <x:v>https://s26.q4cdn.com/410417801/files/doc_financials/2024/ar/v2/Travelers-2024-Annual-Report.pdf</x:v>
      </x:c>
      <x:c r="I540" t="str">
        <x:v>https://www.sec.gov/Archives/edgar/data/86312/000008631225000012/0000086312-25-000012-index.htm</x:v>
      </x:c>
      <x:c r="J540" t="str">
        <x:v>7a58a170cab4531d8e58266b98dbf26cba66bbe16c9a692c771f415a4c49d65c</x:v>
      </x:c>
    </x:row>
    <x:row r="541">
      <x:c r="A541" t="n">
        <x:v>2024</x:v>
      </x:c>
      <x:c r="B541" t="str">
        <x:v>real_estate_purchases</x:v>
      </x:c>
      <x:c r="C541" s="1" t="n">
        <x:v>48</x:v>
      </x:c>
      <x:c r="D541" t="str">
        <x:v>disclosed</x:v>
      </x:c>
      <x:c r="E541" t="str">
        <x:v>trv_ar_2025</x:v>
      </x:c>
      <x:c r="F541" t="n">
        <x:v>161</x:v>
      </x:c>
      <x:c r="G541" t="str">
        <x:v>2026-02-12</x:v>
      </x:c>
      <x:c r="H541" t="str">
        <x:v>https://s26.q4cdn.com/410417801/files/doc_financials/2025/AR/2026-Travelers-Annual-Report-Final.pdf</x:v>
      </x:c>
      <x:c r="I541" t="str">
        <x:v>https://www.sec.gov/Archives/edgar/data/86312/000008631226000065/0000086312-26-000065-index.htm</x:v>
      </x:c>
      <x:c r="J541" t="str">
        <x:v>94fc0b121687402eac9a025d2701d2fe93c0789143797961ad6faad1c6dcb5b6</x:v>
      </x:c>
    </x:row>
    <x:row r="542">
      <x:c r="A542" t="n">
        <x:v>2024</x:v>
      </x:c>
      <x:c r="B542" t="str">
        <x:v>real_estate_sale_proceeds</x:v>
      </x:c>
      <x:c r="C542" s="1" t="n">
        <x:v>64</x:v>
      </x:c>
      <x:c r="D542" t="str">
        <x:v>disclosed</x:v>
      </x:c>
      <x:c r="E542" t="str">
        <x:v>trv_ar_2025</x:v>
      </x:c>
      <x:c r="F542" t="n">
        <x:v>161</x:v>
      </x:c>
      <x:c r="G542" t="str">
        <x:v>2026-02-12</x:v>
      </x:c>
      <x:c r="H542" t="str">
        <x:v>https://s26.q4cdn.com/410417801/files/doc_financials/2025/AR/2026-Travelers-Annual-Report-Final.pdf</x:v>
      </x:c>
      <x:c r="I542" t="str">
        <x:v>https://www.sec.gov/Archives/edgar/data/86312/000008631226000065/0000086312-26-000065-index.htm</x:v>
      </x:c>
      <x:c r="J542" t="str">
        <x:v>94fc0b121687402eac9a025d2701d2fe93c0789143797961ad6faad1c6dcb5b6</x:v>
      </x:c>
    </x:row>
    <x:row r="543">
      <x:c r="A543" t="n">
        <x:v>2024</x:v>
      </x:c>
      <x:c r="B543" t="str">
        <x:v>realized_gains</x:v>
      </x:c>
      <x:c r="C543" s="1" t="n">
        <x:v>-30</x:v>
      </x:c>
      <x:c r="D543" t="str">
        <x:v>disclosed</x:v>
      </x:c>
      <x:c r="E543" t="str">
        <x:v>trv_ar_2025</x:v>
      </x:c>
      <x:c r="F543" t="n">
        <x:v>157</x:v>
      </x:c>
      <x:c r="G543" t="str">
        <x:v>2026-02-12</x:v>
      </x:c>
      <x:c r="H543" t="str">
        <x:v>https://s26.q4cdn.com/410417801/files/doc_financials/2025/AR/2026-Travelers-Annual-Report-Final.pdf</x:v>
      </x:c>
      <x:c r="I543" t="str">
        <x:v>https://www.sec.gov/Archives/edgar/data/86312/000008631226000065/0000086312-26-000065-index.htm</x:v>
      </x:c>
      <x:c r="J543" t="str">
        <x:v>94fc0b121687402eac9a025d2701d2fe93c0789143797961ad6faad1c6dcb5b6</x:v>
      </x:c>
    </x:row>
    <x:row r="544">
      <x:c r="A544" t="n">
        <x:v>2024</x:v>
      </x:c>
      <x:c r="B544" t="str">
        <x:v>reinsurance_premium_payables</x:v>
      </x:c>
      <x:c r="C544" s="1" t="n">
        <x:v>550</x:v>
      </x:c>
      <x:c r="D544" t="str">
        <x:v>disclosed</x:v>
      </x:c>
      <x:c r="E544" t="str">
        <x:v>trv_ar_2025</x:v>
      </x:c>
      <x:c r="F544" t="n">
        <x:v>159</x:v>
      </x:c>
      <x:c r="G544" t="str">
        <x:v>2026-02-12</x:v>
      </x:c>
      <x:c r="H544" t="str">
        <x:v>https://s26.q4cdn.com/410417801/files/doc_financials/2025/AR/2026-Travelers-Annual-Report-Final.pdf</x:v>
      </x:c>
      <x:c r="I544" t="str">
        <x:v>https://www.sec.gov/Archives/edgar/data/86312/000008631226000065/0000086312-26-000065-index.htm</x:v>
      </x:c>
      <x:c r="J544" t="str">
        <x:v>94fc0b121687402eac9a025d2701d2fe93c0789143797961ad6faad1c6dcb5b6</x:v>
      </x:c>
    </x:row>
    <x:row r="545">
      <x:c r="A545" t="n">
        <x:v>2024</x:v>
      </x:c>
      <x:c r="B545" t="str">
        <x:v>reported_opening_net_after_adoption</x:v>
      </x:c>
      <x:c r="C545" s="1" t="n">
        <x:v>53804</x:v>
      </x:c>
      <x:c r="D545" t="str">
        <x:v>disclosed</x:v>
      </x:c>
      <x:c r="E545" t="str">
        <x:v>trv_ar_2025</x:v>
      </x:c>
      <x:c r="F545" t="n">
        <x:v>195</x:v>
      </x:c>
      <x:c r="G545" t="str">
        <x:v>2026-02-12</x:v>
      </x:c>
      <x:c r="H545" t="str">
        <x:v>https://s26.q4cdn.com/410417801/files/doc_financials/2025/AR/2026-Travelers-Annual-Report-Final.pdf</x:v>
      </x:c>
      <x:c r="I545" t="str">
        <x:v>https://www.sec.gov/Archives/edgar/data/86312/000008631226000065/0000086312-26-000065-index.htm</x:v>
      </x:c>
      <x:c r="J545" t="str">
        <x:v>94fc0b121687402eac9a025d2701d2fe93c0789143797961ad6faad1c6dcb5b6</x:v>
      </x:c>
    </x:row>
    <x:row r="546">
      <x:c r="A546" t="n">
        <x:v>2024</x:v>
      </x:c>
      <x:c r="B546" t="str">
        <x:v>reported_total_incurred</x:v>
      </x:c>
      <x:c r="C546" s="1" t="n">
        <x:v>26960</x:v>
      </x:c>
      <x:c r="D546" t="str">
        <x:v>disclosed</x:v>
      </x:c>
      <x:c r="E546" t="str">
        <x:v>trv_ar_2025</x:v>
      </x:c>
      <x:c r="F546" t="n">
        <x:v>195</x:v>
      </x:c>
      <x:c r="G546" t="str">
        <x:v>2026-02-12</x:v>
      </x:c>
      <x:c r="H546" t="str">
        <x:v>https://s26.q4cdn.com/410417801/files/doc_financials/2025/AR/2026-Travelers-Annual-Report-Final.pdf</x:v>
      </x:c>
      <x:c r="I546" t="str">
        <x:v>https://www.sec.gov/Archives/edgar/data/86312/000008631226000065/0000086312-26-000065-index.htm</x:v>
      </x:c>
      <x:c r="J546" t="str">
        <x:v>94fc0b121687402eac9a025d2701d2fe93c0789143797961ad6faad1c6dcb5b6</x:v>
      </x:c>
    </x:row>
    <x:row r="547">
      <x:c r="A547" t="n">
        <x:v>2024</x:v>
      </x:c>
      <x:c r="B547" t="str">
        <x:v>reported_total_paid</x:v>
      </x:c>
      <x:c r="C547" s="1" t="n">
        <x:v>24151</x:v>
      </x:c>
      <x:c r="D547" t="str">
        <x:v>disclosed</x:v>
      </x:c>
      <x:c r="E547" t="str">
        <x:v>trv_ar_2025</x:v>
      </x:c>
      <x:c r="F547" t="n">
        <x:v>195</x:v>
      </x:c>
      <x:c r="G547" t="str">
        <x:v>2026-02-12</x:v>
      </x:c>
      <x:c r="H547" t="str">
        <x:v>https://s26.q4cdn.com/410417801/files/doc_financials/2025/AR/2026-Travelers-Annual-Report-Final.pdf</x:v>
      </x:c>
      <x:c r="I547" t="str">
        <x:v>https://www.sec.gov/Archives/edgar/data/86312/000008631226000065/0000086312-26-000065-index.htm</x:v>
      </x:c>
      <x:c r="J547" t="str">
        <x:v>94fc0b121687402eac9a025d2701d2fe93c0789143797961ad6faad1c6dcb5b6</x:v>
      </x:c>
    </x:row>
    <x:row r="548">
      <x:c r="A548" t="n">
        <x:v>2024</x:v>
      </x:c>
      <x:c r="B548" t="str">
        <x:v>reserve_fx_other</x:v>
      </x:c>
      <x:c r="C548" s="1" t="n">
        <x:v>-194</x:v>
      </x:c>
      <x:c r="D548" t="str">
        <x:v>disclosed</x:v>
      </x:c>
      <x:c r="E548" t="str">
        <x:v>trv_ar_2025</x:v>
      </x:c>
      <x:c r="F548" t="n">
        <x:v>195</x:v>
      </x:c>
      <x:c r="G548" t="str">
        <x:v>2026-02-12</x:v>
      </x:c>
      <x:c r="H548" t="str">
        <x:v>https://s26.q4cdn.com/410417801/files/doc_financials/2025/AR/2026-Travelers-Annual-Report-Final.pdf</x:v>
      </x:c>
      <x:c r="I548" t="str">
        <x:v>https://www.sec.gov/Archives/edgar/data/86312/000008631226000065/0000086312-26-000065-index.htm</x:v>
      </x:c>
      <x:c r="J548" t="str">
        <x:v>94fc0b121687402eac9a025d2701d2fe93c0789143797961ad6faad1c6dcb5b6</x:v>
      </x:c>
    </x:row>
    <x:row r="549">
      <x:c r="A549" t="n">
        <x:v>2024</x:v>
      </x:c>
      <x:c r="B549" t="str">
        <x:v>reserve_prior_incurred</x:v>
      </x:c>
      <x:c r="C549" s="1" t="n">
        <x:v>-548</x:v>
      </x:c>
      <x:c r="D549" t="str">
        <x:v>disclosed</x:v>
      </x:c>
      <x:c r="E549" t="str">
        <x:v>trv_ar_2025</x:v>
      </x:c>
      <x:c r="F549" t="n">
        <x:v>195</x:v>
      </x:c>
      <x:c r="G549" t="str">
        <x:v>2026-02-12</x:v>
      </x:c>
      <x:c r="H549" t="str">
        <x:v>https://s26.q4cdn.com/410417801/files/doc_financials/2025/AR/2026-Travelers-Annual-Report-Final.pdf</x:v>
      </x:c>
      <x:c r="I549" t="str">
        <x:v>https://www.sec.gov/Archives/edgar/data/86312/000008631226000065/0000086312-26-000065-index.htm</x:v>
      </x:c>
      <x:c r="J549" t="str">
        <x:v>94fc0b121687402eac9a025d2701d2fe93c0789143797961ad6faad1c6dcb5b6</x:v>
      </x:c>
    </x:row>
    <x:row r="550">
      <x:c r="A550" t="n">
        <x:v>2024</x:v>
      </x:c>
      <x:c r="B550" t="str">
        <x:v>reserve_total_incurred</x:v>
      </x:c>
      <x:c r="C550" s="1" t="n">
        <x:v>26960</x:v>
      </x:c>
      <x:c r="D550" t="str">
        <x:v>derived</x:v>
      </x:c>
      <x:c r="E550" t="str">
        <x:v>trv_ar_2025</x:v>
      </x:c>
      <x:c r="F550" t="n">
        <x:v>195</x:v>
      </x:c>
      <x:c r="G550" t="str">
        <x:v>2026-02-12</x:v>
      </x:c>
      <x:c r="H550" t="str">
        <x:v>https://s26.q4cdn.com/410417801/files/doc_financials/2025/AR/2026-Travelers-Annual-Report-Final.pdf</x:v>
      </x:c>
      <x:c r="I550" t="str">
        <x:v>https://www.sec.gov/Archives/edgar/data/86312/000008631226000065/0000086312-26-000065-index.htm</x:v>
      </x:c>
      <x:c r="J550" t="str">
        <x:v>94fc0b121687402eac9a025d2701d2fe93c0789143797961ad6faad1c6dcb5b6</x:v>
      </x:c>
    </x:row>
    <x:row r="551">
      <x:c r="A551" t="n">
        <x:v>2024</x:v>
      </x:c>
      <x:c r="B551" t="str">
        <x:v>retained_earnings</x:v>
      </x:c>
      <x:c r="C551" s="1" t="n">
        <x:v>49630</x:v>
      </x:c>
      <x:c r="D551" t="str">
        <x:v>disclosed</x:v>
      </x:c>
      <x:c r="E551" t="str">
        <x:v>trv_ar_2025</x:v>
      </x:c>
      <x:c r="F551" t="n">
        <x:v>159</x:v>
      </x:c>
      <x:c r="G551" t="str">
        <x:v>2026-02-12</x:v>
      </x:c>
      <x:c r="H551" t="str">
        <x:v>https://s26.q4cdn.com/410417801/files/doc_financials/2025/AR/2026-Travelers-Annual-Report-Final.pdf</x:v>
      </x:c>
      <x:c r="I551" t="str">
        <x:v>https://www.sec.gov/Archives/edgar/data/86312/000008631226000065/0000086312-26-000065-index.htm</x:v>
      </x:c>
      <x:c r="J551" t="str">
        <x:v>94fc0b121687402eac9a025d2701d2fe93c0789143797961ad6faad1c6dcb5b6</x:v>
      </x:c>
    </x:row>
    <x:row r="552">
      <x:c r="A552" t="n">
        <x:v>2024</x:v>
      </x:c>
      <x:c r="B552" t="str">
        <x:v>retained_earnings_other</x:v>
      </x:c>
      <x:c r="C552" s="1" t="n">
        <x:v>2</x:v>
      </x:c>
      <x:c r="D552" t="str">
        <x:v>disclosed</x:v>
      </x:c>
      <x:c r="E552" t="str">
        <x:v>trv_ar_2025</x:v>
      </x:c>
      <x:c r="F552" t="n">
        <x:v>160</x:v>
      </x:c>
      <x:c r="G552" t="str">
        <x:v>2026-02-12</x:v>
      </x:c>
      <x:c r="H552" t="str">
        <x:v>https://s26.q4cdn.com/410417801/files/doc_financials/2025/AR/2026-Travelers-Annual-Report-Final.pdf</x:v>
      </x:c>
      <x:c r="I552" t="str">
        <x:v>https://www.sec.gov/Archives/edgar/data/86312/000008631226000065/0000086312-26-000065-index.htm</x:v>
      </x:c>
      <x:c r="J552" t="str">
        <x:v>94fc0b121687402eac9a025d2701d2fe93c0789143797961ad6faad1c6dcb5b6</x:v>
      </x:c>
    </x:row>
    <x:row r="553">
      <x:c r="A553" t="n">
        <x:v>2024</x:v>
      </x:c>
      <x:c r="B553" t="str">
        <x:v>share_buybacks_cash</x:v>
      </x:c>
      <x:c r="C553" s="1" t="n">
        <x:v>1003</x:v>
      </x:c>
      <x:c r="D553" t="str">
        <x:v>disclosed</x:v>
      </x:c>
      <x:c r="E553" t="str">
        <x:v>trv_ar_2025</x:v>
      </x:c>
      <x:c r="F553" t="n">
        <x:v>161</x:v>
      </x:c>
      <x:c r="G553" t="str">
        <x:v>2026-02-12</x:v>
      </x:c>
      <x:c r="H553" t="str">
        <x:v>https://s26.q4cdn.com/410417801/files/doc_financials/2025/AR/2026-Travelers-Annual-Report-Final.pdf</x:v>
      </x:c>
      <x:c r="I553" t="str">
        <x:v>https://www.sec.gov/Archives/edgar/data/86312/000008631226000065/0000086312-26-000065-index.htm</x:v>
      </x:c>
      <x:c r="J553" t="str">
        <x:v>94fc0b121687402eac9a025d2701d2fe93c0789143797961ad6faad1c6dcb5b6</x:v>
      </x:c>
    </x:row>
    <x:row r="554">
      <x:c r="A554" t="n">
        <x:v>2024</x:v>
      </x:c>
      <x:c r="B554" t="str">
        <x:v>short_term_investments</x:v>
      </x:c>
      <x:c r="C554" s="1" t="n">
        <x:v>4766</x:v>
      </x:c>
      <x:c r="D554" t="str">
        <x:v>disclosed</x:v>
      </x:c>
      <x:c r="E554" t="str">
        <x:v>trv_ar_2024</x:v>
      </x:c>
      <x:c r="F554" t="n">
        <x:v>150</x:v>
      </x:c>
      <x:c r="G554" t="str">
        <x:v>2025-02-13</x:v>
      </x:c>
      <x:c r="H554" t="str">
        <x:v>https://s26.q4cdn.com/410417801/files/doc_financials/2024/ar/v2/Travelers-2024-Annual-Report.pdf</x:v>
      </x:c>
      <x:c r="I554" t="str">
        <x:v>https://www.sec.gov/Archives/edgar/data/86312/000008631225000012/0000086312-25-000012-index.htm</x:v>
      </x:c>
      <x:c r="J554" t="str">
        <x:v>7a58a170cab4531d8e58266b98dbf26cba66bbe16c9a692c771f415a4c49d65c</x:v>
      </x:c>
    </x:row>
    <x:row r="555">
      <x:c r="A555" t="n">
        <x:v>2024</x:v>
      </x:c>
      <x:c r="B555" t="str">
        <x:v>short_term_net_sales</x:v>
      </x:c>
      <x:c r="C555" s="1" t="n">
        <x:v>370</x:v>
      </x:c>
      <x:c r="D555" t="str">
        <x:v>disclosed</x:v>
      </x:c>
      <x:c r="E555" t="str">
        <x:v>trv_ar_2025</x:v>
      </x:c>
      <x:c r="F555" t="n">
        <x:v>161</x:v>
      </x:c>
      <x:c r="G555" t="str">
        <x:v>2026-02-12</x:v>
      </x:c>
      <x:c r="H555" t="str">
        <x:v>https://s26.q4cdn.com/410417801/files/doc_financials/2025/AR/2026-Travelers-Annual-Report-Final.pdf</x:v>
      </x:c>
      <x:c r="I555" t="str">
        <x:v>https://www.sec.gov/Archives/edgar/data/86312/000008631226000065/0000086312-26-000065-index.htm</x:v>
      </x:c>
      <x:c r="J555" t="str">
        <x:v>94fc0b121687402eac9a025d2701d2fe93c0789143797961ad6faad1c6dcb5b6</x:v>
      </x:c>
    </x:row>
    <x:row r="556">
      <x:c r="A556" t="n">
        <x:v>2024</x:v>
      </x:c>
      <x:c r="B556" t="str">
        <x:v>stock_comp_and_other_equity</x:v>
      </x:c>
      <x:c r="C556" s="1" t="n">
        <x:v>260</x:v>
      </x:c>
      <x:c r="D556" t="str">
        <x:v>disclosed</x:v>
      </x:c>
      <x:c r="E556" t="str">
        <x:v>trv_ar_2025</x:v>
      </x:c>
      <x:c r="F556" t="n">
        <x:v>160</x:v>
      </x:c>
      <x:c r="G556" t="str">
        <x:v>2026-02-12</x:v>
      </x:c>
      <x:c r="H556" t="str">
        <x:v>https://s26.q4cdn.com/410417801/files/doc_financials/2025/AR/2026-Travelers-Annual-Report-Final.pdf</x:v>
      </x:c>
      <x:c r="I556" t="str">
        <x:v>https://www.sec.gov/Archives/edgar/data/86312/000008631226000065/0000086312-26-000065-index.htm</x:v>
      </x:c>
      <x:c r="J556" t="str">
        <x:v>94fc0b121687402eac9a025d2701d2fe93c0789143797961ad6faad1c6dcb5b6</x:v>
      </x:c>
    </x:row>
    <x:row r="557">
      <x:c r="A557" t="n">
        <x:v>2024</x:v>
      </x:c>
      <x:c r="B557" t="str">
        <x:v>tax_expense</x:v>
      </x:c>
      <x:c r="C557" s="1" t="n">
        <x:v>1181</x:v>
      </x:c>
      <x:c r="D557" t="str">
        <x:v>disclosed</x:v>
      </x:c>
      <x:c r="E557" t="str">
        <x:v>trv_ar_2025</x:v>
      </x:c>
      <x:c r="F557" t="n">
        <x:v>157</x:v>
      </x:c>
      <x:c r="G557" t="str">
        <x:v>2026-02-12</x:v>
      </x:c>
      <x:c r="H557" t="str">
        <x:v>https://s26.q4cdn.com/410417801/files/doc_financials/2025/AR/2026-Travelers-Annual-Report-Final.pdf</x:v>
      </x:c>
      <x:c r="I557" t="str">
        <x:v>https://www.sec.gov/Archives/edgar/data/86312/000008631226000065/0000086312-26-000065-index.htm</x:v>
      </x:c>
      <x:c r="J557" t="str">
        <x:v>94fc0b121687402eac9a025d2701d2fe93c0789143797961ad6faad1c6dcb5b6</x:v>
      </x:c>
    </x:row>
    <x:row r="558">
      <x:c r="A558" t="n">
        <x:v>2024</x:v>
      </x:c>
      <x:c r="B558" t="str">
        <x:v>total_assets</x:v>
      </x:c>
      <x:c r="C558" s="1" t="n">
        <x:v>133189</x:v>
      </x:c>
      <x:c r="D558" t="str">
        <x:v>disclosed</x:v>
      </x:c>
      <x:c r="E558" t="str">
        <x:v>trv_ar_2024</x:v>
      </x:c>
      <x:c r="F558" t="n">
        <x:v>150</x:v>
      </x:c>
      <x:c r="G558" t="str">
        <x:v>2025-02-13</x:v>
      </x:c>
      <x:c r="H558" t="str">
        <x:v>https://s26.q4cdn.com/410417801/files/doc_financials/2024/ar/v2/Travelers-2024-Annual-Report.pdf</x:v>
      </x:c>
      <x:c r="I558" t="str">
        <x:v>https://www.sec.gov/Archives/edgar/data/86312/000008631225000012/0000086312-25-000012-index.htm</x:v>
      </x:c>
      <x:c r="J558" t="str">
        <x:v>7a58a170cab4531d8e58266b98dbf26cba66bbe16c9a692c771f415a4c49d65c</x:v>
      </x:c>
    </x:row>
    <x:row r="559">
      <x:c r="A559" t="n">
        <x:v>2024</x:v>
      </x:c>
      <x:c r="B559" t="str">
        <x:v>total_expenses</x:v>
      </x:c>
      <x:c r="C559" s="1" t="n">
        <x:v>40243</x:v>
      </x:c>
      <x:c r="D559" t="str">
        <x:v>disclosed</x:v>
      </x:c>
      <x:c r="E559" t="str">
        <x:v>trv_ar_2025</x:v>
      </x:c>
      <x:c r="F559" t="n">
        <x:v>157</x:v>
      </x:c>
      <x:c r="G559" t="str">
        <x:v>2026-02-12</x:v>
      </x:c>
      <x:c r="H559" t="str">
        <x:v>https://s26.q4cdn.com/410417801/files/doc_financials/2025/AR/2026-Travelers-Annual-Report-Final.pdf</x:v>
      </x:c>
      <x:c r="I559" t="str">
        <x:v>https://www.sec.gov/Archives/edgar/data/86312/000008631226000065/0000086312-26-000065-index.htm</x:v>
      </x:c>
      <x:c r="J559" t="str">
        <x:v>94fc0b121687402eac9a025d2701d2fe93c0789143797961ad6faad1c6dcb5b6</x:v>
      </x:c>
    </x:row>
    <x:row r="560">
      <x:c r="A560" t="n">
        <x:v>2024</x:v>
      </x:c>
      <x:c r="B560" t="str">
        <x:v>total_investments</x:v>
      </x:c>
      <x:c r="C560" s="1" t="n">
        <x:v>94223</x:v>
      </x:c>
      <x:c r="D560" t="str">
        <x:v>disclosed</x:v>
      </x:c>
      <x:c r="E560" t="str">
        <x:v>trv_ar_2024</x:v>
      </x:c>
      <x:c r="F560" t="n">
        <x:v>150</x:v>
      </x:c>
      <x:c r="G560" t="str">
        <x:v>2025-02-13</x:v>
      </x:c>
      <x:c r="H560" t="str">
        <x:v>https://s26.q4cdn.com/410417801/files/doc_financials/2024/ar/v2/Travelers-2024-Annual-Report.pdf</x:v>
      </x:c>
      <x:c r="I560" t="str">
        <x:v>https://www.sec.gov/Archives/edgar/data/86312/000008631225000012/0000086312-25-000012-index.htm</x:v>
      </x:c>
      <x:c r="J560" t="str">
        <x:v>7a58a170cab4531d8e58266b98dbf26cba66bbe16c9a692c771f415a4c49d65c</x:v>
      </x:c>
    </x:row>
    <x:row r="561">
      <x:c r="A561" t="n">
        <x:v>2024</x:v>
      </x:c>
      <x:c r="B561" t="str">
        <x:v>total_liabilities</x:v>
      </x:c>
      <x:c r="C561" s="1" t="n">
        <x:v>105325</x:v>
      </x:c>
      <x:c r="D561" t="str">
        <x:v>disclosed</x:v>
      </x:c>
      <x:c r="E561" t="str">
        <x:v>trv_ar_2024</x:v>
      </x:c>
      <x:c r="F561" t="n">
        <x:v>150</x:v>
      </x:c>
      <x:c r="G561" t="str">
        <x:v>2025-02-13</x:v>
      </x:c>
      <x:c r="H561" t="str">
        <x:v>https://s26.q4cdn.com/410417801/files/doc_financials/2024/ar/v2/Travelers-2024-Annual-Report.pdf</x:v>
      </x:c>
      <x:c r="I561" t="str">
        <x:v>https://www.sec.gov/Archives/edgar/data/86312/000008631225000012/0000086312-25-000012-index.htm</x:v>
      </x:c>
      <x:c r="J561" t="str">
        <x:v>7a58a170cab4531d8e58266b98dbf26cba66bbe16c9a692c771f415a4c49d65c</x:v>
      </x:c>
    </x:row>
    <x:row r="562">
      <x:c r="A562" t="n">
        <x:v>2024</x:v>
      </x:c>
      <x:c r="B562" t="str">
        <x:v>total_oci</x:v>
      </x:c>
      <x:c r="C562" s="1" t="n">
        <x:v>-496</x:v>
      </x:c>
      <x:c r="D562" t="str">
        <x:v>disclosed</x:v>
      </x:c>
      <x:c r="E562" t="str">
        <x:v>trv_ar_2025</x:v>
      </x:c>
      <x:c r="F562" t="n">
        <x:v>160</x:v>
      </x:c>
      <x:c r="G562" t="str">
        <x:v>2026-02-12</x:v>
      </x:c>
      <x:c r="H562" t="str">
        <x:v>https://s26.q4cdn.com/410417801/files/doc_financials/2025/AR/2026-Travelers-Annual-Report-Final.pdf</x:v>
      </x:c>
      <x:c r="I562" t="str">
        <x:v>https://www.sec.gov/Archives/edgar/data/86312/000008631226000065/0000086312-26-000065-index.htm</x:v>
      </x:c>
      <x:c r="J562" t="str">
        <x:v>94fc0b121687402eac9a025d2701d2fe93c0789143797961ad6faad1c6dcb5b6</x:v>
      </x:c>
    </x:row>
    <x:row r="563">
      <x:c r="A563" t="n">
        <x:v>2024</x:v>
      </x:c>
      <x:c r="B563" t="str">
        <x:v>total_recoverables</x:v>
      </x:c>
      <x:c r="C563" s="1" t="n">
        <x:v>8000</x:v>
      </x:c>
      <x:c r="D563" t="str">
        <x:v>disclosed</x:v>
      </x:c>
      <x:c r="E563" t="str">
        <x:v>trv_ar_2024</x:v>
      </x:c>
      <x:c r="F563" t="n">
        <x:v>150</x:v>
      </x:c>
      <x:c r="G563" t="str">
        <x:v>2025-02-13</x:v>
      </x:c>
      <x:c r="H563" t="str">
        <x:v>https://s26.q4cdn.com/410417801/files/doc_financials/2024/ar/v2/Travelers-2024-Annual-Report.pdf</x:v>
      </x:c>
      <x:c r="I563" t="str">
        <x:v>https://www.sec.gov/Archives/edgar/data/86312/000008631225000012/0000086312-25-000012-index.htm</x:v>
      </x:c>
      <x:c r="J563" t="str">
        <x:v>7a58a170cab4531d8e58266b98dbf26cba66bbe16c9a692c771f415a4c49d65c</x:v>
      </x:c>
    </x:row>
    <x:row r="564">
      <x:c r="A564" t="n">
        <x:v>2024</x:v>
      </x:c>
      <x:c r="B564" t="str">
        <x:v>total_revenue</x:v>
      </x:c>
      <x:c r="C564" s="1" t="n">
        <x:v>46423</x:v>
      </x:c>
      <x:c r="D564" t="str">
        <x:v>disclosed</x:v>
      </x:c>
      <x:c r="E564" t="str">
        <x:v>trv_ar_2025</x:v>
      </x:c>
      <x:c r="F564" t="n">
        <x:v>157</x:v>
      </x:c>
      <x:c r="G564" t="str">
        <x:v>2026-02-12</x:v>
      </x:c>
      <x:c r="H564" t="str">
        <x:v>https://s26.q4cdn.com/410417801/files/doc_financials/2025/AR/2026-Travelers-Annual-Report-Final.pdf</x:v>
      </x:c>
      <x:c r="I564" t="str">
        <x:v>https://www.sec.gov/Archives/edgar/data/86312/000008631226000065/0000086312-26-000065-index.htm</x:v>
      </x:c>
      <x:c r="J564" t="str">
        <x:v>94fc0b121687402eac9a025d2701d2fe93c0789143797961ad6faad1c6dcb5b6</x:v>
      </x:c>
    </x:row>
    <x:row r="565">
      <x:c r="A565" t="n">
        <x:v>2024</x:v>
      </x:c>
      <x:c r="B565" t="str">
        <x:v>treasury_stock</x:v>
      </x:c>
      <x:c r="C565" s="1" t="n">
        <x:v>-42251</x:v>
      </x:c>
      <x:c r="D565" t="str">
        <x:v>disclosed</x:v>
      </x:c>
      <x:c r="E565" t="str">
        <x:v>trv_ar_2025</x:v>
      </x:c>
      <x:c r="F565" t="n">
        <x:v>159</x:v>
      </x:c>
      <x:c r="G565" t="str">
        <x:v>2026-02-12</x:v>
      </x:c>
      <x:c r="H565" t="str">
        <x:v>https://s26.q4cdn.com/410417801/files/doc_financials/2025/AR/2026-Travelers-Annual-Report-Final.pdf</x:v>
      </x:c>
      <x:c r="I565" t="str">
        <x:v>https://www.sec.gov/Archives/edgar/data/86312/000008631226000065/0000086312-26-000065-index.htm</x:v>
      </x:c>
      <x:c r="J565" t="str">
        <x:v>94fc0b121687402eac9a025d2701d2fe93c0789143797961ad6faad1c6dcb5b6</x:v>
      </x:c>
    </x:row>
    <x:row r="566">
      <x:c r="A566" t="n">
        <x:v>2024</x:v>
      </x:c>
      <x:c r="B566" t="str">
        <x:v>unpaid_recoverables</x:v>
      </x:c>
      <x:c r="C566" s="1" t="n">
        <x:v>7669</x:v>
      </x:c>
      <x:c r="D566" t="str">
        <x:v>disclosed</x:v>
      </x:c>
      <x:c r="E566" t="str">
        <x:v>trv_ar_2025</x:v>
      </x:c>
      <x:c r="F566" t="n">
        <x:v>195</x:v>
      </x:c>
      <x:c r="G566" t="str">
        <x:v>2026-02-12</x:v>
      </x:c>
      <x:c r="H566" t="str">
        <x:v>https://s26.q4cdn.com/410417801/files/doc_financials/2025/AR/2026-Travelers-Annual-Report-Final.pdf</x:v>
      </x:c>
      <x:c r="I566" t="str">
        <x:v>https://www.sec.gov/Archives/edgar/data/86312/000008631226000065/0000086312-26-000065-index.htm</x:v>
      </x:c>
      <x:c r="J566" t="str">
        <x:v>94fc0b121687402eac9a025d2701d2fe93c0789143797961ad6faad1c6dcb5b6</x:v>
      </x:c>
    </x:row>
    <x:row r="567">
      <x:c r="A567" t="n">
        <x:v>2025</x:v>
      </x:c>
      <x:c r="B567" t="str">
        <x:v>accrued_investment_income</x:v>
      </x:c>
      <x:c r="C567" s="1" t="n">
        <x:v>877</x:v>
      </x:c>
      <x:c r="D567" t="str">
        <x:v>disclosed</x:v>
      </x:c>
      <x:c r="E567" t="str">
        <x:v>trv_ar_2025</x:v>
      </x:c>
      <x:c r="F567" t="n">
        <x:v>159</x:v>
      </x:c>
      <x:c r="G567" t="str">
        <x:v>2026-02-12</x:v>
      </x:c>
      <x:c r="H567" t="str">
        <x:v>https://s26.q4cdn.com/410417801/files/doc_financials/2025/AR/2026-Travelers-Annual-Report-Final.pdf</x:v>
      </x:c>
      <x:c r="I567" t="str">
        <x:v>https://www.sec.gov/Archives/edgar/data/86312/000008631226000065/0000086312-26-000065-index.htm</x:v>
      </x:c>
      <x:c r="J567" t="str">
        <x:v>94fc0b121687402eac9a025d2701d2fe93c0789143797961ad6faad1c6dcb5b6</x:v>
      </x:c>
    </x:row>
    <x:row r="568">
      <x:c r="A568" t="n">
        <x:v>2025</x:v>
      </x:c>
      <x:c r="B568" t="str">
        <x:v>adoption_change</x:v>
      </x:c>
      <x:c r="C568" s="1" t="n">
        <x:v>0</x:v>
      </x:c>
      <x:c r="D568" t="str">
        <x:v>disclosed</x:v>
      </x:c>
      <x:c r="E568" t="str">
        <x:v>trv_ar_2025</x:v>
      </x:c>
      <x:c r="F568" t="n">
        <x:v>195</x:v>
      </x:c>
      <x:c r="G568" t="str">
        <x:v>2026-02-12</x:v>
      </x:c>
      <x:c r="H568" t="str">
        <x:v>https://s26.q4cdn.com/410417801/files/doc_financials/2025/AR/2026-Travelers-Annual-Report-Final.pdf</x:v>
      </x:c>
      <x:c r="I568" t="str">
        <x:v>https://www.sec.gov/Archives/edgar/data/86312/000008631226000065/0000086312-26-000065-index.htm</x:v>
      </x:c>
      <x:c r="J568" t="str">
        <x:v>94fc0b121687402eac9a025d2701d2fe93c0789143797961ad6faad1c6dcb5b6</x:v>
      </x:c>
    </x:row>
    <x:row r="569">
      <x:c r="A569" t="n">
        <x:v>2025</x:v>
      </x:c>
      <x:c r="B569" t="str">
        <x:v>adoption_equity</x:v>
      </x:c>
      <x:c r="C569" s="1" t="n">
        <x:v>0</x:v>
      </x:c>
      <x:c r="D569" t="str">
        <x:v>disclosed</x:v>
      </x:c>
      <x:c r="E569" t="str">
        <x:v>trv_ar_2025</x:v>
      </x:c>
      <x:c r="F569" t="n">
        <x:v>160</x:v>
      </x:c>
      <x:c r="G569" t="str">
        <x:v>2026-02-12</x:v>
      </x:c>
      <x:c r="H569" t="str">
        <x:v>https://s26.q4cdn.com/410417801/files/doc_financials/2025/AR/2026-Travelers-Annual-Report-Final.pdf</x:v>
      </x:c>
      <x:c r="I569" t="str">
        <x:v>https://www.sec.gov/Archives/edgar/data/86312/000008631226000065/0000086312-26-000065-index.htm</x:v>
      </x:c>
      <x:c r="J569" t="str">
        <x:v>94fc0b121687402eac9a025d2701d2fe93c0789143797961ad6faad1c6dcb5b6</x:v>
      </x:c>
    </x:row>
    <x:row r="570">
      <x:c r="A570" t="n">
        <x:v>2025</x:v>
      </x:c>
      <x:c r="B570" t="str">
        <x:v>aoci</x:v>
      </x:c>
      <x:c r="C570" s="1" t="n">
        <x:v>-2500</x:v>
      </x:c>
      <x:c r="D570" t="str">
        <x:v>disclosed</x:v>
      </x:c>
      <x:c r="E570" t="str">
        <x:v>trv_ar_2025</x:v>
      </x:c>
      <x:c r="F570" t="n">
        <x:v>159</x:v>
      </x:c>
      <x:c r="G570" t="str">
        <x:v>2026-02-12</x:v>
      </x:c>
      <x:c r="H570" t="str">
        <x:v>https://s26.q4cdn.com/410417801/files/doc_financials/2025/AR/2026-Travelers-Annual-Report-Final.pdf</x:v>
      </x:c>
      <x:c r="I570" t="str">
        <x:v>https://www.sec.gov/Archives/edgar/data/86312/000008631226000065/0000086312-26-000065-index.htm</x:v>
      </x:c>
      <x:c r="J570" t="str">
        <x:v>94fc0b121687402eac9a025d2701d2fe93c0789143797961ad6faad1c6dcb5b6</x:v>
      </x:c>
    </x:row>
    <x:row r="571">
      <x:c r="A571" t="n">
        <x:v>2025</x:v>
      </x:c>
      <x:c r="B571" t="str">
        <x:v>assets_held_for_sale</x:v>
      </x:c>
      <x:c r="C571" s="1" t="n">
        <x:v>4550</x:v>
      </x:c>
      <x:c r="D571" t="str">
        <x:v>disclosed</x:v>
      </x:c>
      <x:c r="E571" t="str">
        <x:v>trv_ar_2025</x:v>
      </x:c>
      <x:c r="F571" t="n">
        <x:v>159</x:v>
      </x:c>
      <x:c r="G571" t="str">
        <x:v>2026-02-12</x:v>
      </x:c>
      <x:c r="H571" t="str">
        <x:v>https://s26.q4cdn.com/410417801/files/doc_financials/2025/AR/2026-Travelers-Annual-Report-Final.pdf</x:v>
      </x:c>
      <x:c r="I571" t="str">
        <x:v>https://www.sec.gov/Archives/edgar/data/86312/000008631226000065/0000086312-26-000065-index.htm</x:v>
      </x:c>
      <x:c r="J571" t="str">
        <x:v>94fc0b121687402eac9a025d2701d2fe93c0789143797961ad6faad1c6dcb5b6</x:v>
      </x:c>
    </x:row>
    <x:row r="572">
      <x:c r="A572" t="n">
        <x:v>2025</x:v>
      </x:c>
      <x:c r="B572" t="str">
        <x:v>assumed_earned</x:v>
      </x:c>
      <x:c r="C572" s="1" t="n">
        <x:v>2110</x:v>
      </x:c>
      <x:c r="D572" t="str">
        <x:v>disclosed</x:v>
      </x:c>
      <x:c r="E572" t="str">
        <x:v>trv_ar_2025</x:v>
      </x:c>
      <x:c r="F572" t="n">
        <x:v>193</x:v>
      </x:c>
      <x:c r="G572" t="str">
        <x:v>2026-02-12</x:v>
      </x:c>
      <x:c r="H572" t="str">
        <x:v>https://s26.q4cdn.com/410417801/files/doc_financials/2025/AR/2026-Travelers-Annual-Report-Final.pdf</x:v>
      </x:c>
      <x:c r="I572" t="str">
        <x:v>https://www.sec.gov/Archives/edgar/data/86312/000008631226000065/0000086312-26-000065-index.htm</x:v>
      </x:c>
      <x:c r="J572" t="str">
        <x:v>94fc0b121687402eac9a025d2701d2fe93c0789143797961ad6faad1c6dcb5b6</x:v>
      </x:c>
    </x:row>
    <x:row r="573">
      <x:c r="A573" t="n">
        <x:v>2025</x:v>
      </x:c>
      <x:c r="B573" t="str">
        <x:v>assumed_written</x:v>
      </x:c>
      <x:c r="C573" s="1" t="n">
        <x:v>2136</x:v>
      </x:c>
      <x:c r="D573" t="str">
        <x:v>disclosed</x:v>
      </x:c>
      <x:c r="E573" t="str">
        <x:v>trv_ar_2025</x:v>
      </x:c>
      <x:c r="F573" t="n">
        <x:v>193</x:v>
      </x:c>
      <x:c r="G573" t="str">
        <x:v>2026-02-12</x:v>
      </x:c>
      <x:c r="H573" t="str">
        <x:v>https://s26.q4cdn.com/410417801/files/doc_financials/2025/AR/2026-Travelers-Annual-Report-Final.pdf</x:v>
      </x:c>
      <x:c r="I573" t="str">
        <x:v>https://www.sec.gov/Archives/edgar/data/86312/000008631226000065/0000086312-26-000065-index.htm</x:v>
      </x:c>
      <x:c r="J573" t="str">
        <x:v>94fc0b121687402eac9a025d2701d2fe93c0789143797961ad6faad1c6dcb5b6</x:v>
      </x:c>
    </x:row>
    <x:row r="574">
      <x:c r="A574" t="n">
        <x:v>2025</x:v>
      </x:c>
      <x:c r="B574" t="str">
        <x:v>balance_sheet_claim_reserves</x:v>
      </x:c>
      <x:c r="C574" s="1" t="n">
        <x:v>65737</x:v>
      </x:c>
      <x:c r="D574" t="str">
        <x:v>disclosed</x:v>
      </x:c>
      <x:c r="E574" t="str">
        <x:v>trv_ar_2025</x:v>
      </x:c>
      <x:c r="F574" t="n">
        <x:v>159</x:v>
      </x:c>
      <x:c r="G574" t="str">
        <x:v>2026-02-12</x:v>
      </x:c>
      <x:c r="H574" t="str">
        <x:v>https://s26.q4cdn.com/410417801/files/doc_financials/2025/AR/2026-Travelers-Annual-Report-Final.pdf</x:v>
      </x:c>
      <x:c r="I574" t="str">
        <x:v>https://www.sec.gov/Archives/edgar/data/86312/000008631226000065/0000086312-26-000065-index.htm</x:v>
      </x:c>
      <x:c r="J574" t="str">
        <x:v>94fc0b121687402eac9a025d2701d2fe93c0789143797961ad6faad1c6dcb5b6</x:v>
      </x:c>
    </x:row>
    <x:row r="575">
      <x:c r="A575" t="n">
        <x:v>2025</x:v>
      </x:c>
      <x:c r="B575" t="str">
        <x:v>cash</x:v>
      </x:c>
      <x:c r="C575" s="1" t="n">
        <x:v>842</x:v>
      </x:c>
      <x:c r="D575" t="str">
        <x:v>disclosed</x:v>
      </x:c>
      <x:c r="E575" t="str">
        <x:v>trv_ar_2025</x:v>
      </x:c>
      <x:c r="F575" t="n">
        <x:v>159</x:v>
      </x:c>
      <x:c r="G575" t="str">
        <x:v>2026-02-12</x:v>
      </x:c>
      <x:c r="H575" t="str">
        <x:v>https://s26.q4cdn.com/410417801/files/doc_financials/2025/AR/2026-Travelers-Annual-Report-Final.pdf</x:v>
      </x:c>
      <x:c r="I575" t="str">
        <x:v>https://www.sec.gov/Archives/edgar/data/86312/000008631226000065/0000086312-26-000065-index.htm</x:v>
      </x:c>
      <x:c r="J575" t="str">
        <x:v>94fc0b121687402eac9a025d2701d2fe93c0789143797961ad6faad1c6dcb5b6</x:v>
      </x:c>
    </x:row>
    <x:row r="576">
      <x:c r="A576" t="n">
        <x:v>2025</x:v>
      </x:c>
      <x:c r="B576" t="str">
        <x:v>cash_change_before_reclassification</x:v>
      </x:c>
      <x:c r="C576" s="1" t="n">
        <x:v>314</x:v>
      </x:c>
      <x:c r="D576" t="str">
        <x:v>disclosed</x:v>
      </x:c>
      <x:c r="E576" t="str">
        <x:v>trv_ar_2025</x:v>
      </x:c>
      <x:c r="F576" t="n">
        <x:v>161</x:v>
      </x:c>
      <x:c r="G576" t="str">
        <x:v>2026-02-12</x:v>
      </x:c>
      <x:c r="H576" t="str">
        <x:v>https://s26.q4cdn.com/410417801/files/doc_financials/2025/AR/2026-Travelers-Annual-Report-Final.pdf</x:v>
      </x:c>
      <x:c r="I576" t="str">
        <x:v>https://www.sec.gov/Archives/edgar/data/86312/000008631226000065/0000086312-26-000065-index.htm</x:v>
      </x:c>
      <x:c r="J576" t="str">
        <x:v>94fc0b121687402eac9a025d2701d2fe93c0789143797961ad6faad1c6dcb5b6</x:v>
      </x:c>
    </x:row>
    <x:row r="577">
      <x:c r="A577" t="n">
        <x:v>2025</x:v>
      </x:c>
      <x:c r="B577" t="str">
        <x:v>cash_flow_closing</x:v>
      </x:c>
      <x:c r="C577" s="1" t="n">
        <x:v>842</x:v>
      </x:c>
      <x:c r="D577" t="str">
        <x:v>disclosed</x:v>
      </x:c>
      <x:c r="E577" t="str">
        <x:v>trv_ar_2025</x:v>
      </x:c>
      <x:c r="F577" t="n">
        <x:v>161</x:v>
      </x:c>
      <x:c r="G577" t="str">
        <x:v>2026-02-12</x:v>
      </x:c>
      <x:c r="H577" t="str">
        <x:v>https://s26.q4cdn.com/410417801/files/doc_financials/2025/AR/2026-Travelers-Annual-Report-Final.pdf</x:v>
      </x:c>
      <x:c r="I577" t="str">
        <x:v>https://www.sec.gov/Archives/edgar/data/86312/000008631226000065/0000086312-26-000065-index.htm</x:v>
      </x:c>
      <x:c r="J577" t="str">
        <x:v>94fc0b121687402eac9a025d2701d2fe93c0789143797961ad6faad1c6dcb5b6</x:v>
      </x:c>
    </x:row>
    <x:row r="578">
      <x:c r="A578" t="n">
        <x:v>2025</x:v>
      </x:c>
      <x:c r="B578" t="str">
        <x:v>cash_flow_net_income</x:v>
      </x:c>
      <x:c r="C578" s="1" t="n">
        <x:v>6288</x:v>
      </x:c>
      <x:c r="D578" t="str">
        <x:v>disclosed</x:v>
      </x:c>
      <x:c r="E578" t="str">
        <x:v>trv_ar_2025</x:v>
      </x:c>
      <x:c r="F578" t="n">
        <x:v>161</x:v>
      </x:c>
      <x:c r="G578" t="str">
        <x:v>2026-02-12</x:v>
      </x:c>
      <x:c r="H578" t="str">
        <x:v>https://s26.q4cdn.com/410417801/files/doc_financials/2025/AR/2026-Travelers-Annual-Report-Final.pdf</x:v>
      </x:c>
      <x:c r="I578" t="str">
        <x:v>https://www.sec.gov/Archives/edgar/data/86312/000008631226000065/0000086312-26-000065-index.htm</x:v>
      </x:c>
      <x:c r="J578" t="str">
        <x:v>94fc0b121687402eac9a025d2701d2fe93c0789143797961ad6faad1c6dcb5b6</x:v>
      </x:c>
    </x:row>
    <x:row r="579">
      <x:c r="A579" t="n">
        <x:v>2025</x:v>
      </x:c>
      <x:c r="B579" t="str">
        <x:v>cash_flow_opening</x:v>
      </x:c>
      <x:c r="C579" s="1" t="n">
        <x:v>699</x:v>
      </x:c>
      <x:c r="D579" t="str">
        <x:v>disclosed</x:v>
      </x:c>
      <x:c r="E579" t="str">
        <x:v>trv_ar_2025</x:v>
      </x:c>
      <x:c r="F579" t="n">
        <x:v>161</x:v>
      </x:c>
      <x:c r="G579" t="str">
        <x:v>2026-02-12</x:v>
      </x:c>
      <x:c r="H579" t="str">
        <x:v>https://s26.q4cdn.com/410417801/files/doc_financials/2025/AR/2026-Travelers-Annual-Report-Final.pdf</x:v>
      </x:c>
      <x:c r="I579" t="str">
        <x:v>https://www.sec.gov/Archives/edgar/data/86312/000008631226000065/0000086312-26-000065-index.htm</x:v>
      </x:c>
      <x:c r="J579" t="str">
        <x:v>94fc0b121687402eac9a025d2701d2fe93c0789143797961ad6faad1c6dcb5b6</x:v>
      </x:c>
    </x:row>
    <x:row r="580">
      <x:c r="A580" t="n">
        <x:v>2025</x:v>
      </x:c>
      <x:c r="B580" t="str">
        <x:v>cash_fx</x:v>
      </x:c>
      <x:c r="C580" s="1" t="n">
        <x:v>23</x:v>
      </x:c>
      <x:c r="D580" t="str">
        <x:v>disclosed</x:v>
      </x:c>
      <x:c r="E580" t="str">
        <x:v>trv_ar_2025</x:v>
      </x:c>
      <x:c r="F580" t="n">
        <x:v>161</x:v>
      </x:c>
      <x:c r="G580" t="str">
        <x:v>2026-02-12</x:v>
      </x:c>
      <x:c r="H580" t="str">
        <x:v>https://s26.q4cdn.com/410417801/files/doc_financials/2025/AR/2026-Travelers-Annual-Report-Final.pdf</x:v>
      </x:c>
      <x:c r="I580" t="str">
        <x:v>https://www.sec.gov/Archives/edgar/data/86312/000008631226000065/0000086312-26-000065-index.htm</x:v>
      </x:c>
      <x:c r="J580" t="str">
        <x:v>94fc0b121687402eac9a025d2701d2fe93c0789143797961ad6faad1c6dcb5b6</x:v>
      </x:c>
    </x:row>
    <x:row r="581">
      <x:c r="A581" t="n">
        <x:v>2025</x:v>
      </x:c>
      <x:c r="B581" t="str">
        <x:v>cash_held_for_sale_reclassification</x:v>
      </x:c>
      <x:c r="C581" s="1" t="n">
        <x:v>171</x:v>
      </x:c>
      <x:c r="D581" t="str">
        <x:v>disclosed</x:v>
      </x:c>
      <x:c r="E581" t="str">
        <x:v>trv_ar_2025</x:v>
      </x:c>
      <x:c r="F581" t="n">
        <x:v>161</x:v>
      </x:c>
      <x:c r="G581" t="str">
        <x:v>2026-02-12</x:v>
      </x:c>
      <x:c r="H581" t="str">
        <x:v>https://s26.q4cdn.com/410417801/files/doc_financials/2025/AR/2026-Travelers-Annual-Report-Final.pdf</x:v>
      </x:c>
      <x:c r="I581" t="str">
        <x:v>https://www.sec.gov/Archives/edgar/data/86312/000008631226000065/0000086312-26-000065-index.htm</x:v>
      </x:c>
      <x:c r="J581" t="str">
        <x:v>94fc0b121687402eac9a025d2701d2fe93c0789143797961ad6faad1c6dcb5b6</x:v>
      </x:c>
    </x:row>
    <x:row r="582">
      <x:c r="A582" t="n">
        <x:v>2025</x:v>
      </x:c>
      <x:c r="B582" t="str">
        <x:v>cash_tax</x:v>
      </x:c>
      <x:c r="C582" s="1" t="n">
        <x:v>1274</x:v>
      </x:c>
      <x:c r="D582" t="str">
        <x:v>disclosed</x:v>
      </x:c>
      <x:c r="E582" t="str">
        <x:v>trv_ar_2025</x:v>
      </x:c>
      <x:c r="F582" t="n">
        <x:v>161</x:v>
      </x:c>
      <x:c r="G582" t="str">
        <x:v>2026-02-12</x:v>
      </x:c>
      <x:c r="H582" t="str">
        <x:v>https://s26.q4cdn.com/410417801/files/doc_financials/2025/AR/2026-Travelers-Annual-Report-Final.pdf</x:v>
      </x:c>
      <x:c r="I582" t="str">
        <x:v>https://www.sec.gov/Archives/edgar/data/86312/000008631226000065/0000086312-26-000065-index.htm</x:v>
      </x:c>
      <x:c r="J582" t="str">
        <x:v>94fc0b121687402eac9a025d2701d2fe93c0789143797961ad6faad1c6dcb5b6</x:v>
      </x:c>
    </x:row>
    <x:row r="583">
      <x:c r="A583" t="n">
        <x:v>2025</x:v>
      </x:c>
      <x:c r="B583" t="str">
        <x:v>ceded_earned</x:v>
      </x:c>
      <x:c r="C583" s="1" t="n">
        <x:v>3238</x:v>
      </x:c>
      <x:c r="D583" t="str">
        <x:v>disclosed</x:v>
      </x:c>
      <x:c r="E583" t="str">
        <x:v>trv_ar_2025</x:v>
      </x:c>
      <x:c r="F583" t="n">
        <x:v>193</x:v>
      </x:c>
      <x:c r="G583" t="str">
        <x:v>2026-02-12</x:v>
      </x:c>
      <x:c r="H583" t="str">
        <x:v>https://s26.q4cdn.com/410417801/files/doc_financials/2025/AR/2026-Travelers-Annual-Report-Final.pdf</x:v>
      </x:c>
      <x:c r="I583" t="str">
        <x:v>https://www.sec.gov/Archives/edgar/data/86312/000008631226000065/0000086312-26-000065-index.htm</x:v>
      </x:c>
      <x:c r="J583" t="str">
        <x:v>94fc0b121687402eac9a025d2701d2fe93c0789143797961ad6faad1c6dcb5b6</x:v>
      </x:c>
    </x:row>
    <x:row r="584">
      <x:c r="A584" t="n">
        <x:v>2025</x:v>
      </x:c>
      <x:c r="B584" t="str">
        <x:v>ceded_upr</x:v>
      </x:c>
      <x:c r="C584" s="1" t="n">
        <x:v>1283</x:v>
      </x:c>
      <x:c r="D584" t="str">
        <x:v>disclosed</x:v>
      </x:c>
      <x:c r="E584" t="str">
        <x:v>trv_ar_2025</x:v>
      </x:c>
      <x:c r="F584" t="n">
        <x:v>159</x:v>
      </x:c>
      <x:c r="G584" t="str">
        <x:v>2026-02-12</x:v>
      </x:c>
      <x:c r="H584" t="str">
        <x:v>https://s26.q4cdn.com/410417801/files/doc_financials/2025/AR/2026-Travelers-Annual-Report-Final.pdf</x:v>
      </x:c>
      <x:c r="I584" t="str">
        <x:v>https://www.sec.gov/Archives/edgar/data/86312/000008631226000065/0000086312-26-000065-index.htm</x:v>
      </x:c>
      <x:c r="J584" t="str">
        <x:v>94fc0b121687402eac9a025d2701d2fe93c0789143797961ad6faad1c6dcb5b6</x:v>
      </x:c>
    </x:row>
    <x:row r="585">
      <x:c r="A585" t="n">
        <x:v>2025</x:v>
      </x:c>
      <x:c r="B585" t="str">
        <x:v>ceded_written</x:v>
      </x:c>
      <x:c r="C585" s="1" t="n">
        <x:v>3343</x:v>
      </x:c>
      <x:c r="D585" t="str">
        <x:v>disclosed</x:v>
      </x:c>
      <x:c r="E585" t="str">
        <x:v>trv_ar_2025</x:v>
      </x:c>
      <x:c r="F585" t="n">
        <x:v>193</x:v>
      </x:c>
      <x:c r="G585" t="str">
        <x:v>2026-02-12</x:v>
      </x:c>
      <x:c r="H585" t="str">
        <x:v>https://s26.q4cdn.com/410417801/files/doc_financials/2025/AR/2026-Travelers-Annual-Report-Final.pdf</x:v>
      </x:c>
      <x:c r="I585" t="str">
        <x:v>https://www.sec.gov/Archives/edgar/data/86312/000008631226000065/0000086312-26-000065-index.htm</x:v>
      </x:c>
      <x:c r="J585" t="str">
        <x:v>94fc0b121687402eac9a025d2701d2fe93c0789143797961ad6faad1c6dcb5b6</x:v>
      </x:c>
    </x:row>
    <x:row r="586">
      <x:c r="A586" t="n">
        <x:v>2025</x:v>
      </x:c>
      <x:c r="B586" t="str">
        <x:v>cff</x:v>
      </x:c>
      <x:c r="C586" s="1" t="n">
        <x:v>-2663</x:v>
      </x:c>
      <x:c r="D586" t="str">
        <x:v>disclosed</x:v>
      </x:c>
      <x:c r="E586" t="str">
        <x:v>trv_ar_2025</x:v>
      </x:c>
      <x:c r="F586" t="n">
        <x:v>161</x:v>
      </x:c>
      <x:c r="G586" t="str">
        <x:v>2026-02-12</x:v>
      </x:c>
      <x:c r="H586" t="str">
        <x:v>https://s26.q4cdn.com/410417801/files/doc_financials/2025/AR/2026-Travelers-Annual-Report-Final.pdf</x:v>
      </x:c>
      <x:c r="I586" t="str">
        <x:v>https://www.sec.gov/Archives/edgar/data/86312/000008631226000065/0000086312-26-000065-index.htm</x:v>
      </x:c>
      <x:c r="J586" t="str">
        <x:v>94fc0b121687402eac9a025d2701d2fe93c0789143797961ad6faad1c6dcb5b6</x:v>
      </x:c>
    </x:row>
    <x:row r="587">
      <x:c r="A587" t="n">
        <x:v>2025</x:v>
      </x:c>
      <x:c r="B587" t="str">
        <x:v>cfi</x:v>
      </x:c>
      <x:c r="C587" s="1" t="n">
        <x:v>-7652</x:v>
      </x:c>
      <x:c r="D587" t="str">
        <x:v>disclosed</x:v>
      </x:c>
      <x:c r="E587" t="str">
        <x:v>trv_ar_2025</x:v>
      </x:c>
      <x:c r="F587" t="n">
        <x:v>161</x:v>
      </x:c>
      <x:c r="G587" t="str">
        <x:v>2026-02-12</x:v>
      </x:c>
      <x:c r="H587" t="str">
        <x:v>https://s26.q4cdn.com/410417801/files/doc_financials/2025/AR/2026-Travelers-Annual-Report-Final.pdf</x:v>
      </x:c>
      <x:c r="I587" t="str">
        <x:v>https://www.sec.gov/Archives/edgar/data/86312/000008631226000065/0000086312-26-000065-index.htm</x:v>
      </x:c>
      <x:c r="J587" t="str">
        <x:v>94fc0b121687402eac9a025d2701d2fe93c0789143797961ad6faad1c6dcb5b6</x:v>
      </x:c>
    </x:row>
    <x:row r="588">
      <x:c r="A588" t="n">
        <x:v>2025</x:v>
      </x:c>
      <x:c r="B588" t="str">
        <x:v>cfo</x:v>
      </x:c>
      <x:c r="C588" s="1" t="n">
        <x:v>10606</x:v>
      </x:c>
      <x:c r="D588" t="str">
        <x:v>disclosed</x:v>
      </x:c>
      <x:c r="E588" t="str">
        <x:v>trv_ar_2025</x:v>
      </x:c>
      <x:c r="F588" t="n">
        <x:v>161</x:v>
      </x:c>
      <x:c r="G588" t="str">
        <x:v>2026-02-12</x:v>
      </x:c>
      <x:c r="H588" t="str">
        <x:v>https://s26.q4cdn.com/410417801/files/doc_financials/2025/AR/2026-Travelers-Annual-Report-Final.pdf</x:v>
      </x:c>
      <x:c r="I588" t="str">
        <x:v>https://www.sec.gov/Archives/edgar/data/86312/000008631226000065/0000086312-26-000065-index.htm</x:v>
      </x:c>
      <x:c r="J588" t="str">
        <x:v>94fc0b121687402eac9a025d2701d2fe93c0789143797961ad6faad1c6dcb5b6</x:v>
      </x:c>
    </x:row>
    <x:row r="589">
      <x:c r="A589" t="n">
        <x:v>2025</x:v>
      </x:c>
      <x:c r="B589" t="str">
        <x:v>claims</x:v>
      </x:c>
      <x:c r="C589" s="1" t="n">
        <x:v>27221</x:v>
      </x:c>
      <x:c r="D589" t="str">
        <x:v>disclosed</x:v>
      </x:c>
      <x:c r="E589" t="str">
        <x:v>trv_ar_2025</x:v>
      </x:c>
      <x:c r="F589" t="n">
        <x:v>157</x:v>
      </x:c>
      <x:c r="G589" t="str">
        <x:v>2026-02-12</x:v>
      </x:c>
      <x:c r="H589" t="str">
        <x:v>https://s26.q4cdn.com/410417801/files/doc_financials/2025/AR/2026-Travelers-Annual-Report-Final.pdf</x:v>
      </x:c>
      <x:c r="I589" t="str">
        <x:v>https://www.sec.gov/Archives/edgar/data/86312/000008631226000065/0000086312-26-000065-index.htm</x:v>
      </x:c>
      <x:c r="J589" t="str">
        <x:v>94fc0b121687402eac9a025d2701d2fe93c0789143797961ad6faad1c6dcb5b6</x:v>
      </x:c>
    </x:row>
    <x:row r="590">
      <x:c r="A590" t="n">
        <x:v>2025</x:v>
      </x:c>
      <x:c r="B590" t="str">
        <x:v>closing_aoci</x:v>
      </x:c>
      <x:c r="C590" s="1" t="n">
        <x:v>-2500</x:v>
      </x:c>
      <x:c r="D590" t="str">
        <x:v>disclosed</x:v>
      </x:c>
      <x:c r="E590" t="str">
        <x:v>trv_ar_2025</x:v>
      </x:c>
      <x:c r="F590" t="n">
        <x:v>160</x:v>
      </x:c>
      <x:c r="G590" t="str">
        <x:v>2026-02-12</x:v>
      </x:c>
      <x:c r="H590" t="str">
        <x:v>https://s26.q4cdn.com/410417801/files/doc_financials/2025/AR/2026-Travelers-Annual-Report-Final.pdf</x:v>
      </x:c>
      <x:c r="I590" t="str">
        <x:v>https://www.sec.gov/Archives/edgar/data/86312/000008631226000065/0000086312-26-000065-index.htm</x:v>
      </x:c>
      <x:c r="J590" t="str">
        <x:v>94fc0b121687402eac9a025d2701d2fe93c0789143797961ad6faad1c6dcb5b6</x:v>
      </x:c>
    </x:row>
    <x:row r="591">
      <x:c r="A591" t="n">
        <x:v>2025</x:v>
      </x:c>
      <x:c r="B591" t="str">
        <x:v>closing_equity</x:v>
      </x:c>
      <x:c r="C591" s="1" t="n">
        <x:v>32894</x:v>
      </x:c>
      <x:c r="D591" t="str">
        <x:v>disclosed</x:v>
      </x:c>
      <x:c r="E591" t="str">
        <x:v>trv_ar_2025</x:v>
      </x:c>
      <x:c r="F591" t="n">
        <x:v>160</x:v>
      </x:c>
      <x:c r="G591" t="str">
        <x:v>2026-02-12</x:v>
      </x:c>
      <x:c r="H591" t="str">
        <x:v>https://s26.q4cdn.com/410417801/files/doc_financials/2025/AR/2026-Travelers-Annual-Report-Final.pdf</x:v>
      </x:c>
      <x:c r="I591" t="str">
        <x:v>https://www.sec.gov/Archives/edgar/data/86312/000008631226000065/0000086312-26-000065-index.htm</x:v>
      </x:c>
      <x:c r="J591" t="str">
        <x:v>94fc0b121687402eac9a025d2701d2fe93c0789143797961ad6faad1c6dcb5b6</x:v>
      </x:c>
    </x:row>
    <x:row r="592">
      <x:c r="A592" t="n">
        <x:v>2025</x:v>
      </x:c>
      <x:c r="B592" t="str">
        <x:v>closing_shares</x:v>
      </x:c>
      <x:c r="C592" s="1" t="n">
        <x:v>217.5</x:v>
      </x:c>
      <x:c r="D592" t="str">
        <x:v>disclosed</x:v>
      </x:c>
      <x:c r="E592" t="str">
        <x:v>trv_ar_2025</x:v>
      </x:c>
      <x:c r="F592" t="n">
        <x:v>160</x:v>
      </x:c>
      <x:c r="G592" t="str">
        <x:v>2026-02-12</x:v>
      </x:c>
      <x:c r="H592" t="str">
        <x:v>https://s26.q4cdn.com/410417801/files/doc_financials/2025/AR/2026-Travelers-Annual-Report-Final.pdf</x:v>
      </x:c>
      <x:c r="I592" t="str">
        <x:v>https://www.sec.gov/Archives/edgar/data/86312/000008631226000065/0000086312-26-000065-index.htm</x:v>
      </x:c>
      <x:c r="J592" t="str">
        <x:v>94fc0b121687402eac9a025d2701d2fe93c0789143797961ad6faad1c6dcb5b6</x:v>
      </x:c>
    </x:row>
    <x:row r="593">
      <x:c r="A593" t="n">
        <x:v>2025</x:v>
      </x:c>
      <x:c r="B593" t="str">
        <x:v>common_stock</x:v>
      </x:c>
      <x:c r="C593" s="1" t="n">
        <x:v>25910</x:v>
      </x:c>
      <x:c r="D593" t="str">
        <x:v>disclosed</x:v>
      </x:c>
      <x:c r="E593" t="str">
        <x:v>trv_ar_2025</x:v>
      </x:c>
      <x:c r="F593" t="n">
        <x:v>159</x:v>
      </x:c>
      <x:c r="G593" t="str">
        <x:v>2026-02-12</x:v>
      </x:c>
      <x:c r="H593" t="str">
        <x:v>https://s26.q4cdn.com/410417801/files/doc_financials/2025/AR/2026-Travelers-Annual-Report-Final.pdf</x:v>
      </x:c>
      <x:c r="I593" t="str">
        <x:v>https://www.sec.gov/Archives/edgar/data/86312/000008631226000065/0000086312-26-000065-index.htm</x:v>
      </x:c>
      <x:c r="J593" t="str">
        <x:v>94fc0b121687402eac9a025d2701d2fe93c0789143797961ad6faad1c6dcb5b6</x:v>
      </x:c>
    </x:row>
    <x:row r="594">
      <x:c r="A594" t="n">
        <x:v>2025</x:v>
      </x:c>
      <x:c r="B594" t="str">
        <x:v>contractholder_payables</x:v>
      </x:c>
      <x:c r="C594" s="1" t="n">
        <x:v>3026</x:v>
      </x:c>
      <x:c r="D594" t="str">
        <x:v>disclosed</x:v>
      </x:c>
      <x:c r="E594" t="str">
        <x:v>trv_ar_2025</x:v>
      </x:c>
      <x:c r="F594" t="n">
        <x:v>159</x:v>
      </x:c>
      <x:c r="G594" t="str">
        <x:v>2026-02-12</x:v>
      </x:c>
      <x:c r="H594" t="str">
        <x:v>https://s26.q4cdn.com/410417801/files/doc_financials/2025/AR/2026-Travelers-Annual-Report-Final.pdf</x:v>
      </x:c>
      <x:c r="I594" t="str">
        <x:v>https://www.sec.gov/Archives/edgar/data/86312/000008631226000065/0000086312-26-000065-index.htm</x:v>
      </x:c>
      <x:c r="J594" t="str">
        <x:v>94fc0b121687402eac9a025d2701d2fe93c0789143797961ad6faad1c6dcb5b6</x:v>
      </x:c>
    </x:row>
    <x:row r="595">
      <x:c r="A595" t="n">
        <x:v>2025</x:v>
      </x:c>
      <x:c r="B595" t="str">
        <x:v>contractholder_receivables</x:v>
      </x:c>
      <x:c r="C595" s="1" t="n">
        <x:v>3010</x:v>
      </x:c>
      <x:c r="D595" t="str">
        <x:v>disclosed</x:v>
      </x:c>
      <x:c r="E595" t="str">
        <x:v>trv_ar_2025</x:v>
      </x:c>
      <x:c r="F595" t="n">
        <x:v>159</x:v>
      </x:c>
      <x:c r="G595" t="str">
        <x:v>2026-02-12</x:v>
      </x:c>
      <x:c r="H595" t="str">
        <x:v>https://s26.q4cdn.com/410417801/files/doc_financials/2025/AR/2026-Travelers-Annual-Report-Final.pdf</x:v>
      </x:c>
      <x:c r="I595" t="str">
        <x:v>https://www.sec.gov/Archives/edgar/data/86312/000008631226000065/0000086312-26-000065-index.htm</x:v>
      </x:c>
      <x:c r="J595" t="str">
        <x:v>94fc0b121687402eac9a025d2701d2fe93c0789143797961ad6faad1c6dcb5b6</x:v>
      </x:c>
    </x:row>
    <x:row r="596">
      <x:c r="A596" t="n">
        <x:v>2025</x:v>
      </x:c>
      <x:c r="B596" t="str">
        <x:v>current_incurred</x:v>
      </x:c>
      <x:c r="C596" s="1" t="n">
        <x:v>28051</x:v>
      </x:c>
      <x:c r="D596" t="str">
        <x:v>disclosed</x:v>
      </x:c>
      <x:c r="E596" t="str">
        <x:v>trv_ar_2025</x:v>
      </x:c>
      <x:c r="F596" t="n">
        <x:v>195</x:v>
      </x:c>
      <x:c r="G596" t="str">
        <x:v>2026-02-12</x:v>
      </x:c>
      <x:c r="H596" t="str">
        <x:v>https://s26.q4cdn.com/410417801/files/doc_financials/2025/AR/2026-Travelers-Annual-Report-Final.pdf</x:v>
      </x:c>
      <x:c r="I596" t="str">
        <x:v>https://www.sec.gov/Archives/edgar/data/86312/000008631226000065/0000086312-26-000065-index.htm</x:v>
      </x:c>
      <x:c r="J596" t="str">
        <x:v>94fc0b121687402eac9a025d2701d2fe93c0789143797961ad6faad1c6dcb5b6</x:v>
      </x:c>
    </x:row>
    <x:row r="597">
      <x:c r="A597" t="n">
        <x:v>2025</x:v>
      </x:c>
      <x:c r="B597" t="str">
        <x:v>dac</x:v>
      </x:c>
      <x:c r="C597" s="1" t="n">
        <x:v>3518</x:v>
      </x:c>
      <x:c r="D597" t="str">
        <x:v>disclosed</x:v>
      </x:c>
      <x:c r="E597" t="str">
        <x:v>trv_ar_2025</x:v>
      </x:c>
      <x:c r="F597" t="n">
        <x:v>159</x:v>
      </x:c>
      <x:c r="G597" t="str">
        <x:v>2026-02-12</x:v>
      </x:c>
      <x:c r="H597" t="str">
        <x:v>https://s26.q4cdn.com/410417801/files/doc_financials/2025/AR/2026-Travelers-Annual-Report-Final.pdf</x:v>
      </x:c>
      <x:c r="I597" t="str">
        <x:v>https://www.sec.gov/Archives/edgar/data/86312/000008631226000065/0000086312-26-000065-index.htm</x:v>
      </x:c>
      <x:c r="J597" t="str">
        <x:v>94fc0b121687402eac9a025d2701d2fe93c0789143797961ad6faad1c6dcb5b6</x:v>
      </x:c>
    </x:row>
    <x:row r="598">
      <x:c r="A598" t="n">
        <x:v>2025</x:v>
      </x:c>
      <x:c r="B598" t="str">
        <x:v>dac_amortization</x:v>
      </x:c>
      <x:c r="C598" s="1" t="n">
        <x:v>7266</x:v>
      </x:c>
      <x:c r="D598" t="str">
        <x:v>disclosed</x:v>
      </x:c>
      <x:c r="E598" t="str">
        <x:v>trv_ar_2025</x:v>
      </x:c>
      <x:c r="F598" t="n">
        <x:v>157</x:v>
      </x:c>
      <x:c r="G598" t="str">
        <x:v>2026-02-12</x:v>
      </x:c>
      <x:c r="H598" t="str">
        <x:v>https://s26.q4cdn.com/410417801/files/doc_financials/2025/AR/2026-Travelers-Annual-Report-Final.pdf</x:v>
      </x:c>
      <x:c r="I598" t="str">
        <x:v>https://www.sec.gov/Archives/edgar/data/86312/000008631226000065/0000086312-26-000065-index.htm</x:v>
      </x:c>
      <x:c r="J598" t="str">
        <x:v>94fc0b121687402eac9a025d2701d2fe93c0789143797961ad6faad1c6dcb5b6</x:v>
      </x:c>
    </x:row>
    <x:row r="599">
      <x:c r="A599" t="n">
        <x:v>2025</x:v>
      </x:c>
      <x:c r="B599" t="str">
        <x:v>dac_cash_additions</x:v>
      </x:c>
      <x:c r="C599" s="1" t="n">
        <x:v>7373</x:v>
      </x:c>
      <x:c r="D599" t="str">
        <x:v>disclosed</x:v>
      </x:c>
      <x:c r="E599" t="str">
        <x:v>trv_ar_2025</x:v>
      </x:c>
      <x:c r="F599" t="n">
        <x:v>161</x:v>
      </x:c>
      <x:c r="G599" t="str">
        <x:v>2026-02-12</x:v>
      </x:c>
      <x:c r="H599" t="str">
        <x:v>https://s26.q4cdn.com/410417801/files/doc_financials/2025/AR/2026-Travelers-Annual-Report-Final.pdf</x:v>
      </x:c>
      <x:c r="I599" t="str">
        <x:v>https://www.sec.gov/Archives/edgar/data/86312/000008631226000065/0000086312-26-000065-index.htm</x:v>
      </x:c>
      <x:c r="J599" t="str">
        <x:v>94fc0b121687402eac9a025d2701d2fe93c0789143797961ad6faad1c6dcb5b6</x:v>
      </x:c>
    </x:row>
    <x:row r="600">
      <x:c r="A600" t="n">
        <x:v>2025</x:v>
      </x:c>
      <x:c r="B600" t="str">
        <x:v>debt</x:v>
      </x:c>
      <x:c r="C600" s="1" t="n">
        <x:v>9267</x:v>
      </x:c>
      <x:c r="D600" t="str">
        <x:v>disclosed</x:v>
      </x:c>
      <x:c r="E600" t="str">
        <x:v>trv_ar_2025</x:v>
      </x:c>
      <x:c r="F600" t="n">
        <x:v>159</x:v>
      </x:c>
      <x:c r="G600" t="str">
        <x:v>2026-02-12</x:v>
      </x:c>
      <x:c r="H600" t="str">
        <x:v>https://s26.q4cdn.com/410417801/files/doc_financials/2025/AR/2026-Travelers-Annual-Report-Final.pdf</x:v>
      </x:c>
      <x:c r="I600" t="str">
        <x:v>https://www.sec.gov/Archives/edgar/data/86312/000008631226000065/0000086312-26-000065-index.htm</x:v>
      </x:c>
      <x:c r="J600" t="str">
        <x:v>94fc0b121687402eac9a025d2701d2fe93c0789143797961ad6faad1c6dcb5b6</x:v>
      </x:c>
    </x:row>
    <x:row r="601">
      <x:c r="A601" t="n">
        <x:v>2025</x:v>
      </x:c>
      <x:c r="B601" t="str">
        <x:v>debt_issuance</x:v>
      </x:c>
      <x:c r="C601" s="1" t="n">
        <x:v>1233</x:v>
      </x:c>
      <x:c r="D601" t="str">
        <x:v>disclosed</x:v>
      </x:c>
      <x:c r="E601" t="str">
        <x:v>trv_ar_2025</x:v>
      </x:c>
      <x:c r="F601" t="n">
        <x:v>161</x:v>
      </x:c>
      <x:c r="G601" t="str">
        <x:v>2026-02-12</x:v>
      </x:c>
      <x:c r="H601" t="str">
        <x:v>https://s26.q4cdn.com/410417801/files/doc_financials/2025/AR/2026-Travelers-Annual-Report-Final.pdf</x:v>
      </x:c>
      <x:c r="I601" t="str">
        <x:v>https://www.sec.gov/Archives/edgar/data/86312/000008631226000065/0000086312-26-000065-index.htm</x:v>
      </x:c>
      <x:c r="J601" t="str">
        <x:v>94fc0b121687402eac9a025d2701d2fe93c0789143797961ad6faad1c6dcb5b6</x:v>
      </x:c>
    </x:row>
    <x:row r="602">
      <x:c r="A602" t="n">
        <x:v>2025</x:v>
      </x:c>
      <x:c r="B602" t="str">
        <x:v>debt_repayment</x:v>
      </x:c>
      <x:c r="C602" s="1" t="n">
        <x:v>0</x:v>
      </x:c>
      <x:c r="D602" t="str">
        <x:v>disclosed</x:v>
      </x:c>
      <x:c r="E602" t="str">
        <x:v>trv_ar_2025</x:v>
      </x:c>
      <x:c r="F602" t="n">
        <x:v>161</x:v>
      </x:c>
      <x:c r="G602" t="str">
        <x:v>2026-02-12</x:v>
      </x:c>
      <x:c r="H602" t="str">
        <x:v>https://s26.q4cdn.com/410417801/files/doc_financials/2025/AR/2026-Travelers-Annual-Report-Final.pdf</x:v>
      </x:c>
      <x:c r="I602" t="str">
        <x:v>https://www.sec.gov/Archives/edgar/data/86312/000008631226000065/0000086312-26-000065-index.htm</x:v>
      </x:c>
      <x:c r="J602" t="str">
        <x:v>94fc0b121687402eac9a025d2701d2fe93c0789143797961ad6faad1c6dcb5b6</x:v>
      </x:c>
    </x:row>
    <x:row r="603">
      <x:c r="A603" t="n">
        <x:v>2025</x:v>
      </x:c>
      <x:c r="B603" t="str">
        <x:v>deferred_tax_asset</x:v>
      </x:c>
      <x:c r="C603" s="1" t="n">
        <x:v>887</x:v>
      </x:c>
      <x:c r="D603" t="str">
        <x:v>disclosed</x:v>
      </x:c>
      <x:c r="E603" t="str">
        <x:v>trv_ar_2025</x:v>
      </x:c>
      <x:c r="F603" t="n">
        <x:v>159</x:v>
      </x:c>
      <x:c r="G603" t="str">
        <x:v>2026-02-12</x:v>
      </x:c>
      <x:c r="H603" t="str">
        <x:v>https://s26.q4cdn.com/410417801/files/doc_financials/2025/AR/2026-Travelers-Annual-Report-Final.pdf</x:v>
      </x:c>
      <x:c r="I603" t="str">
        <x:v>https://www.sec.gov/Archives/edgar/data/86312/000008631226000065/0000086312-26-000065-index.htm</x:v>
      </x:c>
      <x:c r="J603" t="str">
        <x:v>94fc0b121687402eac9a025d2701d2fe93c0789143797961ad6faad1c6dcb5b6</x:v>
      </x:c>
    </x:row>
    <x:row r="604">
      <x:c r="A604" t="n">
        <x:v>2025</x:v>
      </x:c>
      <x:c r="B604" t="str">
        <x:v>direct_earned</x:v>
      </x:c>
      <x:c r="C604" s="1" t="n">
        <x:v>45042</x:v>
      </x:c>
      <x:c r="D604" t="str">
        <x:v>disclosed</x:v>
      </x:c>
      <x:c r="E604" t="str">
        <x:v>trv_ar_2025</x:v>
      </x:c>
      <x:c r="F604" t="n">
        <x:v>193</x:v>
      </x:c>
      <x:c r="G604" t="str">
        <x:v>2026-02-12</x:v>
      </x:c>
      <x:c r="H604" t="str">
        <x:v>https://s26.q4cdn.com/410417801/files/doc_financials/2025/AR/2026-Travelers-Annual-Report-Final.pdf</x:v>
      </x:c>
      <x:c r="I604" t="str">
        <x:v>https://www.sec.gov/Archives/edgar/data/86312/000008631226000065/0000086312-26-000065-index.htm</x:v>
      </x:c>
      <x:c r="J604" t="str">
        <x:v>94fc0b121687402eac9a025d2701d2fe93c0789143797961ad6faad1c6dcb5b6</x:v>
      </x:c>
    </x:row>
    <x:row r="605">
      <x:c r="A605" t="n">
        <x:v>2025</x:v>
      </x:c>
      <x:c r="B605" t="str">
        <x:v>direct_written</x:v>
      </x:c>
      <x:c r="C605" s="1" t="n">
        <x:v>45594</x:v>
      </x:c>
      <x:c r="D605" t="str">
        <x:v>disclosed</x:v>
      </x:c>
      <x:c r="E605" t="str">
        <x:v>trv_ar_2025</x:v>
      </x:c>
      <x:c r="F605" t="n">
        <x:v>193</x:v>
      </x:c>
      <x:c r="G605" t="str">
        <x:v>2026-02-12</x:v>
      </x:c>
      <x:c r="H605" t="str">
        <x:v>https://s26.q4cdn.com/410417801/files/doc_financials/2025/AR/2026-Travelers-Annual-Report-Final.pdf</x:v>
      </x:c>
      <x:c r="I605" t="str">
        <x:v>https://www.sec.gov/Archives/edgar/data/86312/000008631226000065/0000086312-26-000065-index.htm</x:v>
      </x:c>
      <x:c r="J605" t="str">
        <x:v>94fc0b121687402eac9a025d2701d2fe93c0789143797961ad6faad1c6dcb5b6</x:v>
      </x:c>
    </x:row>
    <x:row r="606">
      <x:c r="A606" t="n">
        <x:v>2025</x:v>
      </x:c>
      <x:c r="B606" t="str">
        <x:v>dividends_cash</x:v>
      </x:c>
      <x:c r="C606" s="1" t="n">
        <x:v>979</x:v>
      </x:c>
      <x:c r="D606" t="str">
        <x:v>disclosed</x:v>
      </x:c>
      <x:c r="E606" t="str">
        <x:v>trv_ar_2025</x:v>
      </x:c>
      <x:c r="F606" t="n">
        <x:v>161</x:v>
      </x:c>
      <x:c r="G606" t="str">
        <x:v>2026-02-12</x:v>
      </x:c>
      <x:c r="H606" t="str">
        <x:v>https://s26.q4cdn.com/410417801/files/doc_financials/2025/AR/2026-Travelers-Annual-Report-Final.pdf</x:v>
      </x:c>
      <x:c r="I606" t="str">
        <x:v>https://www.sec.gov/Archives/edgar/data/86312/000008631226000065/0000086312-26-000065-index.htm</x:v>
      </x:c>
      <x:c r="J606" t="str">
        <x:v>94fc0b121687402eac9a025d2701d2fe93c0789143797961ad6faad1c6dcb5b6</x:v>
      </x:c>
    </x:row>
    <x:row r="607">
      <x:c r="A607" t="n">
        <x:v>2025</x:v>
      </x:c>
      <x:c r="B607" t="str">
        <x:v>employee_option_cash</x:v>
      </x:c>
      <x:c r="C607" s="1" t="n">
        <x:v>214</x:v>
      </x:c>
      <x:c r="D607" t="str">
        <x:v>disclosed</x:v>
      </x:c>
      <x:c r="E607" t="str">
        <x:v>trv_ar_2025</x:v>
      </x:c>
      <x:c r="F607" t="n">
        <x:v>161</x:v>
      </x:c>
      <x:c r="G607" t="str">
        <x:v>2026-02-12</x:v>
      </x:c>
      <x:c r="H607" t="str">
        <x:v>https://s26.q4cdn.com/410417801/files/doc_financials/2025/AR/2026-Travelers-Annual-Report-Final.pdf</x:v>
      </x:c>
      <x:c r="I607" t="str">
        <x:v>https://www.sec.gov/Archives/edgar/data/86312/000008631226000065/0000086312-26-000065-index.htm</x:v>
      </x:c>
      <x:c r="J607" t="str">
        <x:v>94fc0b121687402eac9a025d2701d2fe93c0789143797961ad6faad1c6dcb5b6</x:v>
      </x:c>
    </x:row>
    <x:row r="608">
      <x:c r="A608" t="n">
        <x:v>2025</x:v>
      </x:c>
      <x:c r="B608" t="str">
        <x:v>employee_share_net_cash</x:v>
      </x:c>
      <x:c r="C608" s="1" t="n">
        <x:v>127</x:v>
      </x:c>
      <x:c r="D608" t="str">
        <x:v>disclosed</x:v>
      </x:c>
      <x:c r="E608" t="str">
        <x:v>trv_ar_2025</x:v>
      </x:c>
      <x:c r="F608" t="n">
        <x:v>161</x:v>
      </x:c>
      <x:c r="G608" t="str">
        <x:v>2026-02-12</x:v>
      </x:c>
      <x:c r="H608" t="str">
        <x:v>https://s26.q4cdn.com/410417801/files/doc_financials/2025/AR/2026-Travelers-Annual-Report-Final.pdf</x:v>
      </x:c>
      <x:c r="I608" t="str">
        <x:v>https://www.sec.gov/Archives/edgar/data/86312/000008631226000065/0000086312-26-000065-index.htm</x:v>
      </x:c>
      <x:c r="J608" t="str">
        <x:v>94fc0b121687402eac9a025d2701d2fe93c0789143797961ad6faad1c6dcb5b6</x:v>
      </x:c>
    </x:row>
    <x:row r="609">
      <x:c r="A609" t="n">
        <x:v>2025</x:v>
      </x:c>
      <x:c r="B609" t="str">
        <x:v>employee_shares_equity</x:v>
      </x:c>
      <x:c r="C609" s="1" t="n">
        <x:v>202</x:v>
      </x:c>
      <x:c r="D609" t="str">
        <x:v>disclosed</x:v>
      </x:c>
      <x:c r="E609" t="str">
        <x:v>trv_ar_2025</x:v>
      </x:c>
      <x:c r="F609" t="n">
        <x:v>160</x:v>
      </x:c>
      <x:c r="G609" t="str">
        <x:v>2026-02-12</x:v>
      </x:c>
      <x:c r="H609" t="str">
        <x:v>https://s26.q4cdn.com/410417801/files/doc_financials/2025/AR/2026-Travelers-Annual-Report-Final.pdf</x:v>
      </x:c>
      <x:c r="I609" t="str">
        <x:v>https://www.sec.gov/Archives/edgar/data/86312/000008631226000065/0000086312-26-000065-index.htm</x:v>
      </x:c>
      <x:c r="J609" t="str">
        <x:v>94fc0b121687402eac9a025d2701d2fe93c0789143797961ad6faad1c6dcb5b6</x:v>
      </x:c>
    </x:row>
    <x:row r="610">
      <x:c r="A610" t="n">
        <x:v>2025</x:v>
      </x:c>
      <x:c r="B610" t="str">
        <x:v>equity</x:v>
      </x:c>
      <x:c r="C610" s="1" t="n">
        <x:v>32894</x:v>
      </x:c>
      <x:c r="D610" t="str">
        <x:v>disclosed</x:v>
      </x:c>
      <x:c r="E610" t="str">
        <x:v>trv_ar_2025</x:v>
      </x:c>
      <x:c r="F610" t="n">
        <x:v>159</x:v>
      </x:c>
      <x:c r="G610" t="str">
        <x:v>2026-02-12</x:v>
      </x:c>
      <x:c r="H610" t="str">
        <x:v>https://s26.q4cdn.com/410417801/files/doc_financials/2025/AR/2026-Travelers-Annual-Report-Final.pdf</x:v>
      </x:c>
      <x:c r="I610" t="str">
        <x:v>https://www.sec.gov/Archives/edgar/data/86312/000008631226000065/0000086312-26-000065-index.htm</x:v>
      </x:c>
      <x:c r="J610" t="str">
        <x:v>94fc0b121687402eac9a025d2701d2fe93c0789143797961ad6faad1c6dcb5b6</x:v>
      </x:c>
    </x:row>
    <x:row r="611">
      <x:c r="A611" t="n">
        <x:v>2025</x:v>
      </x:c>
      <x:c r="B611" t="str">
        <x:v>equity_buybacks_authorized</x:v>
      </x:c>
      <x:c r="C611" s="1" t="n">
        <x:v>3025</x:v>
      </x:c>
      <x:c r="D611" t="str">
        <x:v>disclosed</x:v>
      </x:c>
      <x:c r="E611" t="str">
        <x:v>trv_ar_2025</x:v>
      </x:c>
      <x:c r="F611" t="n">
        <x:v>160</x:v>
      </x:c>
      <x:c r="G611" t="str">
        <x:v>2026-02-12</x:v>
      </x:c>
      <x:c r="H611" t="str">
        <x:v>https://s26.q4cdn.com/410417801/files/doc_financials/2025/AR/2026-Travelers-Annual-Report-Final.pdf</x:v>
      </x:c>
      <x:c r="I611" t="str">
        <x:v>https://www.sec.gov/Archives/edgar/data/86312/000008631226000065/0000086312-26-000065-index.htm</x:v>
      </x:c>
      <x:c r="J611" t="str">
        <x:v>94fc0b121687402eac9a025d2701d2fe93c0789143797961ad6faad1c6dcb5b6</x:v>
      </x:c>
    </x:row>
    <x:row r="612">
      <x:c r="A612" t="n">
        <x:v>2025</x:v>
      </x:c>
      <x:c r="B612" t="str">
        <x:v>equity_dividends</x:v>
      </x:c>
      <x:c r="C612" s="1" t="n">
        <x:v>987</x:v>
      </x:c>
      <x:c r="D612" t="str">
        <x:v>disclosed</x:v>
      </x:c>
      <x:c r="E612" t="str">
        <x:v>trv_ar_2025</x:v>
      </x:c>
      <x:c r="F612" t="n">
        <x:v>160</x:v>
      </x:c>
      <x:c r="G612" t="str">
        <x:v>2026-02-12</x:v>
      </x:c>
      <x:c r="H612" t="str">
        <x:v>https://s26.q4cdn.com/410417801/files/doc_financials/2025/AR/2026-Travelers-Annual-Report-Final.pdf</x:v>
      </x:c>
      <x:c r="I612" t="str">
        <x:v>https://www.sec.gov/Archives/edgar/data/86312/000008631226000065/0000086312-26-000065-index.htm</x:v>
      </x:c>
      <x:c r="J612" t="str">
        <x:v>94fc0b121687402eac9a025d2701d2fe93c0789143797961ad6faad1c6dcb5b6</x:v>
      </x:c>
    </x:row>
    <x:row r="613">
      <x:c r="A613" t="n">
        <x:v>2025</x:v>
      </x:c>
      <x:c r="B613" t="str">
        <x:v>equity_employee_treasury</x:v>
      </x:c>
      <x:c r="C613" s="1" t="n">
        <x:v>171</x:v>
      </x:c>
      <x:c r="D613" t="str">
        <x:v>disclosed</x:v>
      </x:c>
      <x:c r="E613" t="str">
        <x:v>trv_ar_2025</x:v>
      </x:c>
      <x:c r="F613" t="n">
        <x:v>160</x:v>
      </x:c>
      <x:c r="G613" t="str">
        <x:v>2026-02-12</x:v>
      </x:c>
      <x:c r="H613" t="str">
        <x:v>https://s26.q4cdn.com/410417801/files/doc_financials/2025/AR/2026-Travelers-Annual-Report-Final.pdf</x:v>
      </x:c>
      <x:c r="I613" t="str">
        <x:v>https://www.sec.gov/Archives/edgar/data/86312/000008631226000065/0000086312-26-000065-index.htm</x:v>
      </x:c>
      <x:c r="J613" t="str">
        <x:v>94fc0b121687402eac9a025d2701d2fe93c0789143797961ad6faad1c6dcb5b6</x:v>
      </x:c>
    </x:row>
    <x:row r="614">
      <x:c r="A614" t="n">
        <x:v>2025</x:v>
      </x:c>
      <x:c r="B614" t="str">
        <x:v>equity_investments</x:v>
      </x:c>
      <x:c r="C614" s="1" t="n">
        <x:v>618</x:v>
      </x:c>
      <x:c r="D614" t="str">
        <x:v>disclosed</x:v>
      </x:c>
      <x:c r="E614" t="str">
        <x:v>trv_ar_2025</x:v>
      </x:c>
      <x:c r="F614" t="n">
        <x:v>159</x:v>
      </x:c>
      <x:c r="G614" t="str">
        <x:v>2026-02-12</x:v>
      </x:c>
      <x:c r="H614" t="str">
        <x:v>https://s26.q4cdn.com/410417801/files/doc_financials/2025/AR/2026-Travelers-Annual-Report-Final.pdf</x:v>
      </x:c>
      <x:c r="I614" t="str">
        <x:v>https://www.sec.gov/Archives/edgar/data/86312/000008631226000065/0000086312-26-000065-index.htm</x:v>
      </x:c>
      <x:c r="J614" t="str">
        <x:v>94fc0b121687402eac9a025d2701d2fe93c0789143797961ad6faad1c6dcb5b6</x:v>
      </x:c>
    </x:row>
    <x:row r="615">
      <x:c r="A615" t="n">
        <x:v>2025</x:v>
      </x:c>
      <x:c r="B615" t="str">
        <x:v>equity_security_purchases</x:v>
      </x:c>
      <x:c r="C615" s="1" t="n">
        <x:v>126</x:v>
      </x:c>
      <x:c r="D615" t="str">
        <x:v>disclosed</x:v>
      </x:c>
      <x:c r="E615" t="str">
        <x:v>trv_ar_2025</x:v>
      </x:c>
      <x:c r="F615" t="n">
        <x:v>161</x:v>
      </x:c>
      <x:c r="G615" t="str">
        <x:v>2026-02-12</x:v>
      </x:c>
      <x:c r="H615" t="str">
        <x:v>https://s26.q4cdn.com/410417801/files/doc_financials/2025/AR/2026-Travelers-Annual-Report-Final.pdf</x:v>
      </x:c>
      <x:c r="I615" t="str">
        <x:v>https://www.sec.gov/Archives/edgar/data/86312/000008631226000065/0000086312-26-000065-index.htm</x:v>
      </x:c>
      <x:c r="J615" t="str">
        <x:v>94fc0b121687402eac9a025d2701d2fe93c0789143797961ad6faad1c6dcb5b6</x:v>
      </x:c>
    </x:row>
    <x:row r="616">
      <x:c r="A616" t="n">
        <x:v>2025</x:v>
      </x:c>
      <x:c r="B616" t="str">
        <x:v>equity_security_sale_proceeds</x:v>
      </x:c>
      <x:c r="C616" s="1" t="n">
        <x:v>160</x:v>
      </x:c>
      <x:c r="D616" t="str">
        <x:v>disclosed</x:v>
      </x:c>
      <x:c r="E616" t="str">
        <x:v>trv_ar_2025</x:v>
      </x:c>
      <x:c r="F616" t="n">
        <x:v>161</x:v>
      </x:c>
      <x:c r="G616" t="str">
        <x:v>2026-02-12</x:v>
      </x:c>
      <x:c r="H616" t="str">
        <x:v>https://s26.q4cdn.com/410417801/files/doc_financials/2025/AR/2026-Travelers-Annual-Report-Final.pdf</x:v>
      </x:c>
      <x:c r="I616" t="str">
        <x:v>https://www.sec.gov/Archives/edgar/data/86312/000008631226000065/0000086312-26-000065-index.htm</x:v>
      </x:c>
      <x:c r="J616" t="str">
        <x:v>94fc0b121687402eac9a025d2701d2fe93c0789143797961ad6faad1c6dcb5b6</x:v>
      </x:c>
    </x:row>
    <x:row r="617">
      <x:c r="A617" t="n">
        <x:v>2025</x:v>
      </x:c>
      <x:c r="B617" t="str">
        <x:v>fee_income</x:v>
      </x:c>
      <x:c r="C617" s="1" t="n">
        <x:v>495</x:v>
      </x:c>
      <x:c r="D617" t="str">
        <x:v>disclosed</x:v>
      </x:c>
      <x:c r="E617" t="str">
        <x:v>trv_ar_2025</x:v>
      </x:c>
      <x:c r="F617" t="n">
        <x:v>157</x:v>
      </x:c>
      <x:c r="G617" t="str">
        <x:v>2026-02-12</x:v>
      </x:c>
      <x:c r="H617" t="str">
        <x:v>https://s26.q4cdn.com/410417801/files/doc_financials/2025/AR/2026-Travelers-Annual-Report-Final.pdf</x:v>
      </x:c>
      <x:c r="I617" t="str">
        <x:v>https://www.sec.gov/Archives/edgar/data/86312/000008631226000065/0000086312-26-000065-index.htm</x:v>
      </x:c>
      <x:c r="J617" t="str">
        <x:v>94fc0b121687402eac9a025d2701d2fe93c0789143797961ad6faad1c6dcb5b6</x:v>
      </x:c>
    </x:row>
    <x:row r="618">
      <x:c r="A618" t="n">
        <x:v>2025</x:v>
      </x:c>
      <x:c r="B618" t="str">
        <x:v>fixed_maturity_cost</x:v>
      </x:c>
      <x:c r="C618" s="1" t="n">
        <x:v>91717</x:v>
      </x:c>
      <x:c r="D618" t="str">
        <x:v>disclosed</x:v>
      </x:c>
      <x:c r="E618" t="str">
        <x:v>trv_ar_2025</x:v>
      </x:c>
      <x:c r="F618" t="n">
        <x:v>159</x:v>
      </x:c>
      <x:c r="G618" t="str">
        <x:v>2026-02-12</x:v>
      </x:c>
      <x:c r="H618" t="str">
        <x:v>https://s26.q4cdn.com/410417801/files/doc_financials/2025/AR/2026-Travelers-Annual-Report-Final.pdf</x:v>
      </x:c>
      <x:c r="I618" t="str">
        <x:v>https://www.sec.gov/Archives/edgar/data/86312/000008631226000065/0000086312-26-000065-index.htm</x:v>
      </x:c>
      <x:c r="J618" t="str">
        <x:v>94fc0b121687402eac9a025d2701d2fe93c0789143797961ad6faad1c6dcb5b6</x:v>
      </x:c>
    </x:row>
    <x:row r="619">
      <x:c r="A619" t="n">
        <x:v>2025</x:v>
      </x:c>
      <x:c r="B619" t="str">
        <x:v>fixed_maturity_fair</x:v>
      </x:c>
      <x:c r="C619" s="1" t="n">
        <x:v>89833</x:v>
      </x:c>
      <x:c r="D619" t="str">
        <x:v>disclosed</x:v>
      </x:c>
      <x:c r="E619" t="str">
        <x:v>trv_ar_2025</x:v>
      </x:c>
      <x:c r="F619" t="n">
        <x:v>159</x:v>
      </x:c>
      <x:c r="G619" t="str">
        <x:v>2026-02-12</x:v>
      </x:c>
      <x:c r="H619" t="str">
        <x:v>https://s26.q4cdn.com/410417801/files/doc_financials/2025/AR/2026-Travelers-Annual-Report-Final.pdf</x:v>
      </x:c>
      <x:c r="I619" t="str">
        <x:v>https://www.sec.gov/Archives/edgar/data/86312/000008631226000065/0000086312-26-000065-index.htm</x:v>
      </x:c>
      <x:c r="J619" t="str">
        <x:v>94fc0b121687402eac9a025d2701d2fe93c0789143797961ad6faad1c6dcb5b6</x:v>
      </x:c>
    </x:row>
    <x:row r="620">
      <x:c r="A620" t="n">
        <x:v>2025</x:v>
      </x:c>
      <x:c r="B620" t="str">
        <x:v>fixed_maturity_maturities</x:v>
      </x:c>
      <x:c r="C620" s="1" t="n">
        <x:v>11660</x:v>
      </x:c>
      <x:c r="D620" t="str">
        <x:v>disclosed</x:v>
      </x:c>
      <x:c r="E620" t="str">
        <x:v>trv_ar_2025</x:v>
      </x:c>
      <x:c r="F620" t="n">
        <x:v>161</x:v>
      </x:c>
      <x:c r="G620" t="str">
        <x:v>2026-02-12</x:v>
      </x:c>
      <x:c r="H620" t="str">
        <x:v>https://s26.q4cdn.com/410417801/files/doc_financials/2025/AR/2026-Travelers-Annual-Report-Final.pdf</x:v>
      </x:c>
      <x:c r="I620" t="str">
        <x:v>https://www.sec.gov/Archives/edgar/data/86312/000008631226000065/0000086312-26-000065-index.htm</x:v>
      </x:c>
      <x:c r="J620" t="str">
        <x:v>94fc0b121687402eac9a025d2701d2fe93c0789143797961ad6faad1c6dcb5b6</x:v>
      </x:c>
    </x:row>
    <x:row r="621">
      <x:c r="A621" t="n">
        <x:v>2025</x:v>
      </x:c>
      <x:c r="B621" t="str">
        <x:v>fixed_maturity_purchases</x:v>
      </x:c>
      <x:c r="C621" s="1" t="n">
        <x:v>18771</x:v>
      </x:c>
      <x:c r="D621" t="str">
        <x:v>disclosed</x:v>
      </x:c>
      <x:c r="E621" t="str">
        <x:v>trv_ar_2025</x:v>
      </x:c>
      <x:c r="F621" t="n">
        <x:v>161</x:v>
      </x:c>
      <x:c r="G621" t="str">
        <x:v>2026-02-12</x:v>
      </x:c>
      <x:c r="H621" t="str">
        <x:v>https://s26.q4cdn.com/410417801/files/doc_financials/2025/AR/2026-Travelers-Annual-Report-Final.pdf</x:v>
      </x:c>
      <x:c r="I621" t="str">
        <x:v>https://www.sec.gov/Archives/edgar/data/86312/000008631226000065/0000086312-26-000065-index.htm</x:v>
      </x:c>
      <x:c r="J621" t="str">
        <x:v>94fc0b121687402eac9a025d2701d2fe93c0789143797961ad6faad1c6dcb5b6</x:v>
      </x:c>
    </x:row>
    <x:row r="622">
      <x:c r="A622" t="n">
        <x:v>2025</x:v>
      </x:c>
      <x:c r="B622" t="str">
        <x:v>fixed_maturity_sale_proceeds</x:v>
      </x:c>
      <x:c r="C622" s="1" t="n">
        <x:v>832</x:v>
      </x:c>
      <x:c r="D622" t="str">
        <x:v>disclosed</x:v>
      </x:c>
      <x:c r="E622" t="str">
        <x:v>trv_ar_2025</x:v>
      </x:c>
      <x:c r="F622" t="n">
        <x:v>161</x:v>
      </x:c>
      <x:c r="G622" t="str">
        <x:v>2026-02-12</x:v>
      </x:c>
      <x:c r="H622" t="str">
        <x:v>https://s26.q4cdn.com/410417801/files/doc_financials/2025/AR/2026-Travelers-Annual-Report-Final.pdf</x:v>
      </x:c>
      <x:c r="I622" t="str">
        <x:v>https://www.sec.gov/Archives/edgar/data/86312/000008631226000065/0000086312-26-000065-index.htm</x:v>
      </x:c>
      <x:c r="J622" t="str">
        <x:v>94fc0b121687402eac9a025d2701d2fe93c0789143797961ad6faad1c6dcb5b6</x:v>
      </x:c>
    </x:row>
    <x:row r="623">
      <x:c r="A623" t="n">
        <x:v>2025</x:v>
      </x:c>
      <x:c r="B623" t="str">
        <x:v>general_admin</x:v>
      </x:c>
      <x:c r="C623" s="1" t="n">
        <x:v>6120</x:v>
      </x:c>
      <x:c r="D623" t="str">
        <x:v>disclosed</x:v>
      </x:c>
      <x:c r="E623" t="str">
        <x:v>trv_ar_2025</x:v>
      </x:c>
      <x:c r="F623" t="n">
        <x:v>157</x:v>
      </x:c>
      <x:c r="G623" t="str">
        <x:v>2026-02-12</x:v>
      </x:c>
      <x:c r="H623" t="str">
        <x:v>https://s26.q4cdn.com/410417801/files/doc_financials/2025/AR/2026-Travelers-Annual-Report-Final.pdf</x:v>
      </x:c>
      <x:c r="I623" t="str">
        <x:v>https://www.sec.gov/Archives/edgar/data/86312/000008631226000065/0000086312-26-000065-index.htm</x:v>
      </x:c>
      <x:c r="J623" t="str">
        <x:v>94fc0b121687402eac9a025d2701d2fe93c0789143797961ad6faad1c6dcb5b6</x:v>
      </x:c>
    </x:row>
    <x:row r="624">
      <x:c r="A624" t="n">
        <x:v>2025</x:v>
      </x:c>
      <x:c r="B624" t="str">
        <x:v>goodwill</x:v>
      </x:c>
      <x:c r="C624" s="1" t="n">
        <x:v>4066</x:v>
      </x:c>
      <x:c r="D624" t="str">
        <x:v>disclosed</x:v>
      </x:c>
      <x:c r="E624" t="str">
        <x:v>trv_ar_2025</x:v>
      </x:c>
      <x:c r="F624" t="n">
        <x:v>159</x:v>
      </x:c>
      <x:c r="G624" t="str">
        <x:v>2026-02-12</x:v>
      </x:c>
      <x:c r="H624" t="str">
        <x:v>https://s26.q4cdn.com/410417801/files/doc_financials/2025/AR/2026-Travelers-Annual-Report-Final.pdf</x:v>
      </x:c>
      <x:c r="I624" t="str">
        <x:v>https://www.sec.gov/Archives/edgar/data/86312/000008631226000065/0000086312-26-000065-index.htm</x:v>
      </x:c>
      <x:c r="J624" t="str">
        <x:v>94fc0b121687402eac9a025d2701d2fe93c0789143797961ad6faad1c6dcb5b6</x:v>
      </x:c>
    </x:row>
    <x:row r="625">
      <x:c r="A625" t="n">
        <x:v>2025</x:v>
      </x:c>
      <x:c r="B625" t="str">
        <x:v>gross_earned</x:v>
      </x:c>
      <x:c r="C625" s="1" t="n">
        <x:v>47152</x:v>
      </x:c>
      <x:c r="D625" t="str">
        <x:v>derived</x:v>
      </x:c>
      <x:c r="E625" t="str">
        <x:v>trv_ar_2025</x:v>
      </x:c>
      <x:c r="F625" t="n">
        <x:v>193</x:v>
      </x:c>
      <x:c r="G625" t="str">
        <x:v>2026-02-12</x:v>
      </x:c>
      <x:c r="H625" t="str">
        <x:v>https://s26.q4cdn.com/410417801/files/doc_financials/2025/AR/2026-Travelers-Annual-Report-Final.pdf</x:v>
      </x:c>
      <x:c r="I625" t="str">
        <x:v>https://www.sec.gov/Archives/edgar/data/86312/000008631226000065/0000086312-26-000065-index.htm</x:v>
      </x:c>
      <x:c r="J625" t="str">
        <x:v>94fc0b121687402eac9a025d2701d2fe93c0789143797961ad6faad1c6dcb5b6</x:v>
      </x:c>
    </x:row>
    <x:row r="626">
      <x:c r="A626" t="n">
        <x:v>2025</x:v>
      </x:c>
      <x:c r="B626" t="str">
        <x:v>gross_reserves</x:v>
      </x:c>
      <x:c r="C626" s="1" t="n">
        <x:v>67643</x:v>
      </x:c>
      <x:c r="D626" t="str">
        <x:v>disclosed</x:v>
      </x:c>
      <x:c r="E626" t="str">
        <x:v>trv_ar_2025</x:v>
      </x:c>
      <x:c r="F626" t="n">
        <x:v>195</x:v>
      </x:c>
      <x:c r="G626" t="str">
        <x:v>2026-02-12</x:v>
      </x:c>
      <x:c r="H626" t="str">
        <x:v>https://s26.q4cdn.com/410417801/files/doc_financials/2025/AR/2026-Travelers-Annual-Report-Final.pdf</x:v>
      </x:c>
      <x:c r="I626" t="str">
        <x:v>https://www.sec.gov/Archives/edgar/data/86312/000008631226000065/0000086312-26-000065-index.htm</x:v>
      </x:c>
      <x:c r="J626" t="str">
        <x:v>94fc0b121687402eac9a025d2701d2fe93c0789143797961ad6faad1c6dcb5b6</x:v>
      </x:c>
    </x:row>
    <x:row r="627">
      <x:c r="A627" t="n">
        <x:v>2025</x:v>
      </x:c>
      <x:c r="B627" t="str">
        <x:v>gross_upr</x:v>
      </x:c>
      <x:c r="C627" s="1" t="n">
        <x:v>22431</x:v>
      </x:c>
      <x:c r="D627" t="str">
        <x:v>disclosed</x:v>
      </x:c>
      <x:c r="E627" t="str">
        <x:v>trv_ar_2025</x:v>
      </x:c>
      <x:c r="F627" t="n">
        <x:v>159</x:v>
      </x:c>
      <x:c r="G627" t="str">
        <x:v>2026-02-12</x:v>
      </x:c>
      <x:c r="H627" t="str">
        <x:v>https://s26.q4cdn.com/410417801/files/doc_financials/2025/AR/2026-Travelers-Annual-Report-Final.pdf</x:v>
      </x:c>
      <x:c r="I627" t="str">
        <x:v>https://www.sec.gov/Archives/edgar/data/86312/000008631226000065/0000086312-26-000065-index.htm</x:v>
      </x:c>
      <x:c r="J627" t="str">
        <x:v>94fc0b121687402eac9a025d2701d2fe93c0789143797961ad6faad1c6dcb5b6</x:v>
      </x:c>
    </x:row>
    <x:row r="628">
      <x:c r="A628" t="n">
        <x:v>2025</x:v>
      </x:c>
      <x:c r="B628" t="str">
        <x:v>gwp</x:v>
      </x:c>
      <x:c r="C628" s="1" t="n">
        <x:v>47730</x:v>
      </x:c>
      <x:c r="D628" t="str">
        <x:v>derived</x:v>
      </x:c>
      <x:c r="E628" t="str">
        <x:v>trv_ar_2025</x:v>
      </x:c>
      <x:c r="F628" t="n">
        <x:v>193</x:v>
      </x:c>
      <x:c r="G628" t="str">
        <x:v>2026-02-12</x:v>
      </x:c>
      <x:c r="H628" t="str">
        <x:v>https://s26.q4cdn.com/410417801/files/doc_financials/2025/AR/2026-Travelers-Annual-Report-Final.pdf</x:v>
      </x:c>
      <x:c r="I628" t="str">
        <x:v>https://www.sec.gov/Archives/edgar/data/86312/000008631226000065/0000086312-26-000065-index.htm</x:v>
      </x:c>
      <x:c r="J628" t="str">
        <x:v>94fc0b121687402eac9a025d2701d2fe93c0789143797961ad6faad1c6dcb5b6</x:v>
      </x:c>
    </x:row>
    <x:row r="629">
      <x:c r="A629" t="n">
        <x:v>2025</x:v>
      </x:c>
      <x:c r="B629" t="str">
        <x:v>held_for_sale_recoverables</x:v>
      </x:c>
      <x:c r="C629" s="1" t="n">
        <x:v>285</x:v>
      </x:c>
      <x:c r="D629" t="str">
        <x:v>disclosed</x:v>
      </x:c>
      <x:c r="E629" t="str">
        <x:v>trv_ar_2025</x:v>
      </x:c>
      <x:c r="F629" t="n">
        <x:v>162</x:v>
      </x:c>
      <x:c r="G629" t="str">
        <x:v>2026-02-12</x:v>
      </x:c>
      <x:c r="H629" t="str">
        <x:v>https://s26.q4cdn.com/410417801/files/doc_financials/2025/AR/2026-Travelers-Annual-Report-Final.pdf</x:v>
      </x:c>
      <x:c r="I629" t="str">
        <x:v>https://www.sec.gov/Archives/edgar/data/86312/000008631226000065/0000086312-26-000065-index.htm</x:v>
      </x:c>
      <x:c r="J629" t="str">
        <x:v>94fc0b121687402eac9a025d2701d2fe93c0789143797961ad6faad1c6dcb5b6</x:v>
      </x:c>
    </x:row>
    <x:row r="630">
      <x:c r="A630" t="n">
        <x:v>2025</x:v>
      </x:c>
      <x:c r="B630" t="str">
        <x:v>held_for_sale_reserves</x:v>
      </x:c>
      <x:c r="C630" s="1" t="n">
        <x:v>1909</x:v>
      </x:c>
      <x:c r="D630" t="str">
        <x:v>disclosed</x:v>
      </x:c>
      <x:c r="E630" t="str">
        <x:v>trv_ar_2025</x:v>
      </x:c>
      <x:c r="F630" t="n">
        <x:v>162</x:v>
      </x:c>
      <x:c r="G630" t="str">
        <x:v>2026-02-12</x:v>
      </x:c>
      <x:c r="H630" t="str">
        <x:v>https://s26.q4cdn.com/410417801/files/doc_financials/2025/AR/2026-Travelers-Annual-Report-Final.pdf</x:v>
      </x:c>
      <x:c r="I630" t="str">
        <x:v>https://www.sec.gov/Archives/edgar/data/86312/000008631226000065/0000086312-26-000065-index.htm</x:v>
      </x:c>
      <x:c r="J630" t="str">
        <x:v>94fc0b121687402eac9a025d2701d2fe93c0789143797961ad6faad1c6dcb5b6</x:v>
      </x:c>
    </x:row>
    <x:row r="631">
      <x:c r="A631" t="n">
        <x:v>2025</x:v>
      </x:c>
      <x:c r="B631" t="str">
        <x:v>held_for_sale_upr</x:v>
      </x:c>
      <x:c r="C631" s="1" t="n">
        <x:v>514</x:v>
      </x:c>
      <x:c r="D631" t="str">
        <x:v>disclosed</x:v>
      </x:c>
      <x:c r="E631" t="str">
        <x:v>trv_ar_2025</x:v>
      </x:c>
      <x:c r="F631" t="n">
        <x:v>162</x:v>
      </x:c>
      <x:c r="G631" t="str">
        <x:v>2026-02-12</x:v>
      </x:c>
      <x:c r="H631" t="str">
        <x:v>https://s26.q4cdn.com/410417801/files/doc_financials/2025/AR/2026-Travelers-Annual-Report-Final.pdf</x:v>
      </x:c>
      <x:c r="I631" t="str">
        <x:v>https://www.sec.gov/Archives/edgar/data/86312/000008631226000065/0000086312-26-000065-index.htm</x:v>
      </x:c>
      <x:c r="J631" t="str">
        <x:v>94fc0b121687402eac9a025d2701d2fe93c0789143797961ad6faad1c6dcb5b6</x:v>
      </x:c>
    </x:row>
    <x:row r="632">
      <x:c r="A632" t="n">
        <x:v>2025</x:v>
      </x:c>
      <x:c r="B632" t="str">
        <x:v>intangible_assets</x:v>
      </x:c>
      <x:c r="C632" s="1" t="n">
        <x:v>336</x:v>
      </x:c>
      <x:c r="D632" t="str">
        <x:v>disclosed</x:v>
      </x:c>
      <x:c r="E632" t="str">
        <x:v>trv_ar_2025</x:v>
      </x:c>
      <x:c r="F632" t="n">
        <x:v>159</x:v>
      </x:c>
      <x:c r="G632" t="str">
        <x:v>2026-02-12</x:v>
      </x:c>
      <x:c r="H632" t="str">
        <x:v>https://s26.q4cdn.com/410417801/files/doc_financials/2025/AR/2026-Travelers-Annual-Report-Final.pdf</x:v>
      </x:c>
      <x:c r="I632" t="str">
        <x:v>https://www.sec.gov/Archives/edgar/data/86312/000008631226000065/0000086312-26-000065-index.htm</x:v>
      </x:c>
      <x:c r="J632" t="str">
        <x:v>94fc0b121687402eac9a025d2701d2fe93c0789143797961ad6faad1c6dcb5b6</x:v>
      </x:c>
    </x:row>
    <x:row r="633">
      <x:c r="A633" t="n">
        <x:v>2025</x:v>
      </x:c>
      <x:c r="B633" t="str">
        <x:v>interest_expense</x:v>
      </x:c>
      <x:c r="C633" s="1" t="n">
        <x:v>425</x:v>
      </x:c>
      <x:c r="D633" t="str">
        <x:v>disclosed</x:v>
      </x:c>
      <x:c r="E633" t="str">
        <x:v>trv_ar_2025</x:v>
      </x:c>
      <x:c r="F633" t="n">
        <x:v>157</x:v>
      </x:c>
      <x:c r="G633" t="str">
        <x:v>2026-02-12</x:v>
      </x:c>
      <x:c r="H633" t="str">
        <x:v>https://s26.q4cdn.com/410417801/files/doc_financials/2025/AR/2026-Travelers-Annual-Report-Final.pdf</x:v>
      </x:c>
      <x:c r="I633" t="str">
        <x:v>https://www.sec.gov/Archives/edgar/data/86312/000008631226000065/0000086312-26-000065-index.htm</x:v>
      </x:c>
      <x:c r="J633" t="str">
        <x:v>94fc0b121687402eac9a025d2701d2fe93c0789143797961ad6faad1c6dcb5b6</x:v>
      </x:c>
    </x:row>
    <x:row r="634">
      <x:c r="A634" t="n">
        <x:v>2025</x:v>
      </x:c>
      <x:c r="B634" t="str">
        <x:v>investment_income</x:v>
      </x:c>
      <x:c r="C634" s="1" t="n">
        <x:v>3959</x:v>
      </x:c>
      <x:c r="D634" t="str">
        <x:v>disclosed</x:v>
      </x:c>
      <x:c r="E634" t="str">
        <x:v>trv_ar_2025</x:v>
      </x:c>
      <x:c r="F634" t="n">
        <x:v>157</x:v>
      </x:c>
      <x:c r="G634" t="str">
        <x:v>2026-02-12</x:v>
      </x:c>
      <x:c r="H634" t="str">
        <x:v>https://s26.q4cdn.com/410417801/files/doc_financials/2025/AR/2026-Travelers-Annual-Report-Final.pdf</x:v>
      </x:c>
      <x:c r="I634" t="str">
        <x:v>https://www.sec.gov/Archives/edgar/data/86312/000008631226000065/0000086312-26-000065-index.htm</x:v>
      </x:c>
      <x:c r="J634" t="str">
        <x:v>94fc0b121687402eac9a025d2701d2fe93c0789143797961ad6faad1c6dcb5b6</x:v>
      </x:c>
    </x:row>
    <x:row r="635">
      <x:c r="A635" t="n">
        <x:v>2025</x:v>
      </x:c>
      <x:c r="B635" t="str">
        <x:v>liabilities_held_for_sale</x:v>
      </x:c>
      <x:c r="C635" s="1" t="n">
        <x:v>2542</x:v>
      </x:c>
      <x:c r="D635" t="str">
        <x:v>disclosed</x:v>
      </x:c>
      <x:c r="E635" t="str">
        <x:v>trv_ar_2025</x:v>
      </x:c>
      <x:c r="F635" t="n">
        <x:v>159</x:v>
      </x:c>
      <x:c r="G635" t="str">
        <x:v>2026-02-12</x:v>
      </x:c>
      <x:c r="H635" t="str">
        <x:v>https://s26.q4cdn.com/410417801/files/doc_financials/2025/AR/2026-Travelers-Annual-Report-Final.pdf</x:v>
      </x:c>
      <x:c r="I635" t="str">
        <x:v>https://www.sec.gov/Archives/edgar/data/86312/000008631226000065/0000086312-26-000065-index.htm</x:v>
      </x:c>
      <x:c r="J635" t="str">
        <x:v>94fc0b121687402eac9a025d2701d2fe93c0789143797961ad6faad1c6dcb5b6</x:v>
      </x:c>
    </x:row>
    <x:row r="636">
      <x:c r="A636" t="n">
        <x:v>2025</x:v>
      </x:c>
      <x:c r="B636" t="str">
        <x:v>nep</x:v>
      </x:c>
      <x:c r="C636" s="1" t="n">
        <x:v>43914</x:v>
      </x:c>
      <x:c r="D636" t="str">
        <x:v>disclosed</x:v>
      </x:c>
      <x:c r="E636" t="str">
        <x:v>trv_ar_2025</x:v>
      </x:c>
      <x:c r="F636" t="n">
        <x:v>193</x:v>
      </x:c>
      <x:c r="G636" t="str">
        <x:v>2026-02-12</x:v>
      </x:c>
      <x:c r="H636" t="str">
        <x:v>https://s26.q4cdn.com/410417801/files/doc_financials/2025/AR/2026-Travelers-Annual-Report-Final.pdf</x:v>
      </x:c>
      <x:c r="I636" t="str">
        <x:v>https://www.sec.gov/Archives/edgar/data/86312/000008631226000065/0000086312-26-000065-index.htm</x:v>
      </x:c>
      <x:c r="J636" t="str">
        <x:v>94fc0b121687402eac9a025d2701d2fe93c0789143797961ad6faad1c6dcb5b6</x:v>
      </x:c>
    </x:row>
    <x:row r="637">
      <x:c r="A637" t="n">
        <x:v>2025</x:v>
      </x:c>
      <x:c r="B637" t="str">
        <x:v>net_income</x:v>
      </x:c>
      <x:c r="C637" s="1" t="n">
        <x:v>6288</x:v>
      </x:c>
      <x:c r="D637" t="str">
        <x:v>disclosed</x:v>
      </x:c>
      <x:c r="E637" t="str">
        <x:v>trv_ar_2025</x:v>
      </x:c>
      <x:c r="F637" t="n">
        <x:v>157</x:v>
      </x:c>
      <x:c r="G637" t="str">
        <x:v>2026-02-12</x:v>
      </x:c>
      <x:c r="H637" t="str">
        <x:v>https://s26.q4cdn.com/410417801/files/doc_financials/2025/AR/2026-Travelers-Annual-Report-Final.pdf</x:v>
      </x:c>
      <x:c r="I637" t="str">
        <x:v>https://www.sec.gov/Archives/edgar/data/86312/000008631226000065/0000086312-26-000065-index.htm</x:v>
      </x:c>
      <x:c r="J637" t="str">
        <x:v>94fc0b121687402eac9a025d2701d2fe93c0789143797961ad6faad1c6dcb5b6</x:v>
      </x:c>
    </x:row>
    <x:row r="638">
      <x:c r="A638" t="n">
        <x:v>2025</x:v>
      </x:c>
      <x:c r="B638" t="str">
        <x:v>net_reserves</x:v>
      </x:c>
      <x:c r="C638" s="1" t="n">
        <x:v>59846</x:v>
      </x:c>
      <x:c r="D638" t="str">
        <x:v>disclosed</x:v>
      </x:c>
      <x:c r="E638" t="str">
        <x:v>trv_ar_2025</x:v>
      </x:c>
      <x:c r="F638" t="n">
        <x:v>195</x:v>
      </x:c>
      <x:c r="G638" t="str">
        <x:v>2026-02-12</x:v>
      </x:c>
      <x:c r="H638" t="str">
        <x:v>https://s26.q4cdn.com/410417801/files/doc_financials/2025/AR/2026-Travelers-Annual-Report-Final.pdf</x:v>
      </x:c>
      <x:c r="I638" t="str">
        <x:v>https://www.sec.gov/Archives/edgar/data/86312/000008631226000065/0000086312-26-000065-index.htm</x:v>
      </x:c>
      <x:c r="J638" t="str">
        <x:v>94fc0b121687402eac9a025d2701d2fe93c0789143797961ad6faad1c6dcb5b6</x:v>
      </x:c>
    </x:row>
    <x:row r="639">
      <x:c r="A639" t="n">
        <x:v>2025</x:v>
      </x:c>
      <x:c r="B639" t="str">
        <x:v>net_upr</x:v>
      </x:c>
      <x:c r="C639" s="1" t="n">
        <x:v>21148</x:v>
      </x:c>
      <x:c r="D639" t="str">
        <x:v>derived</x:v>
      </x:c>
      <x:c r="E639" t="str">
        <x:v>trv_ar_2025</x:v>
      </x:c>
      <x:c r="F639" t="n">
        <x:v>159</x:v>
      </x:c>
      <x:c r="G639" t="str">
        <x:v>2026-02-12</x:v>
      </x:c>
      <x:c r="H639" t="str">
        <x:v>https://s26.q4cdn.com/410417801/files/doc_financials/2025/AR/2026-Travelers-Annual-Report-Final.pdf</x:v>
      </x:c>
      <x:c r="I639" t="str">
        <x:v>https://www.sec.gov/Archives/edgar/data/86312/000008631226000065/0000086312-26-000065-index.htm</x:v>
      </x:c>
      <x:c r="J639" t="str">
        <x:v>94fc0b121687402eac9a025d2701d2fe93c0789143797961ad6faad1c6dcb5b6</x:v>
      </x:c>
    </x:row>
    <x:row r="640">
      <x:c r="A640" t="n">
        <x:v>2025</x:v>
      </x:c>
      <x:c r="B640" t="str">
        <x:v>nwp</x:v>
      </x:c>
      <x:c r="C640" s="1" t="n">
        <x:v>44387</x:v>
      </x:c>
      <x:c r="D640" t="str">
        <x:v>disclosed</x:v>
      </x:c>
      <x:c r="E640" t="str">
        <x:v>trv_ar_2025</x:v>
      </x:c>
      <x:c r="F640" t="n">
        <x:v>193</x:v>
      </x:c>
      <x:c r="G640" t="str">
        <x:v>2026-02-12</x:v>
      </x:c>
      <x:c r="H640" t="str">
        <x:v>https://s26.q4cdn.com/410417801/files/doc_financials/2025/AR/2026-Travelers-Annual-Report-Final.pdf</x:v>
      </x:c>
      <x:c r="I640" t="str">
        <x:v>https://www.sec.gov/Archives/edgar/data/86312/000008631226000065/0000086312-26-000065-index.htm</x:v>
      </x:c>
      <x:c r="J640" t="str">
        <x:v>94fc0b121687402eac9a025d2701d2fe93c0789143797961ad6faad1c6dcb5b6</x:v>
      </x:c>
    </x:row>
    <x:row r="641">
      <x:c r="A641" t="n">
        <x:v>2025</x:v>
      </x:c>
      <x:c r="B641" t="str">
        <x:v>opening_equity</x:v>
      </x:c>
      <x:c r="C641" s="1" t="n">
        <x:v>27864</x:v>
      </x:c>
      <x:c r="D641" t="str">
        <x:v>derived</x:v>
      </x:c>
      <x:c r="E641" t="str">
        <x:v>trv_ar_2025</x:v>
      </x:c>
      <x:c r="F641" t="n">
        <x:v>160</x:v>
      </x:c>
      <x:c r="G641" t="str">
        <x:v>2026-02-12</x:v>
      </x:c>
      <x:c r="H641" t="str">
        <x:v>https://s26.q4cdn.com/410417801/files/doc_financials/2025/AR/2026-Travelers-Annual-Report-Final.pdf</x:v>
      </x:c>
      <x:c r="I641" t="str">
        <x:v>https://www.sec.gov/Archives/edgar/data/86312/000008631226000065/0000086312-26-000065-index.htm</x:v>
      </x:c>
      <x:c r="J641" t="str">
        <x:v>94fc0b121687402eac9a025d2701d2fe93c0789143797961ad6faad1c6dcb5b6</x:v>
      </x:c>
    </x:row>
    <x:row r="642">
      <x:c r="A642" t="n">
        <x:v>2025</x:v>
      </x:c>
      <x:c r="B642" t="str">
        <x:v>other_assets</x:v>
      </x:c>
      <x:c r="C642" s="1" t="n">
        <x:v>4279</x:v>
      </x:c>
      <x:c r="D642" t="str">
        <x:v>disclosed</x:v>
      </x:c>
      <x:c r="E642" t="str">
        <x:v>trv_ar_2025</x:v>
      </x:c>
      <x:c r="F642" t="n">
        <x:v>159</x:v>
      </x:c>
      <x:c r="G642" t="str">
        <x:v>2026-02-12</x:v>
      </x:c>
      <x:c r="H642" t="str">
        <x:v>https://s26.q4cdn.com/410417801/files/doc_financials/2025/AR/2026-Travelers-Annual-Report-Final.pdf</x:v>
      </x:c>
      <x:c r="I642" t="str">
        <x:v>https://www.sec.gov/Archives/edgar/data/86312/000008631226000065/0000086312-26-000065-index.htm</x:v>
      </x:c>
      <x:c r="J642" t="str">
        <x:v>94fc0b121687402eac9a025d2701d2fe93c0789143797961ad6faad1c6dcb5b6</x:v>
      </x:c>
    </x:row>
    <x:row r="643">
      <x:c r="A643" t="n">
        <x:v>2025</x:v>
      </x:c>
      <x:c r="B643" t="str">
        <x:v>other_insurance_reserves</x:v>
      </x:c>
      <x:c r="C643" s="1" t="n">
        <x:v>3</x:v>
      </x:c>
      <x:c r="D643" t="str">
        <x:v>disclosed</x:v>
      </x:c>
      <x:c r="E643" t="str">
        <x:v>trv_ar_2025</x:v>
      </x:c>
      <x:c r="F643" t="n">
        <x:v>195</x:v>
      </x:c>
      <x:c r="G643" t="str">
        <x:v>2026-02-12</x:v>
      </x:c>
      <x:c r="H643" t="str">
        <x:v>https://s26.q4cdn.com/410417801/files/doc_financials/2025/AR/2026-Travelers-Annual-Report-Final.pdf</x:v>
      </x:c>
      <x:c r="I643" t="str">
        <x:v>https://www.sec.gov/Archives/edgar/data/86312/000008631226000065/0000086312-26-000065-index.htm</x:v>
      </x:c>
      <x:c r="J643" t="str">
        <x:v>94fc0b121687402eac9a025d2701d2fe93c0789143797961ad6faad1c6dcb5b6</x:v>
      </x:c>
    </x:row>
    <x:row r="644">
      <x:c r="A644" t="n">
        <x:v>2025</x:v>
      </x:c>
      <x:c r="B644" t="str">
        <x:v>other_investment_purchases</x:v>
      </x:c>
      <x:c r="C644" s="1" t="n">
        <x:v>346</x:v>
      </x:c>
      <x:c r="D644" t="str">
        <x:v>disclosed</x:v>
      </x:c>
      <x:c r="E644" t="str">
        <x:v>trv_ar_2025</x:v>
      </x:c>
      <x:c r="F644" t="n">
        <x:v>161</x:v>
      </x:c>
      <x:c r="G644" t="str">
        <x:v>2026-02-12</x:v>
      </x:c>
      <x:c r="H644" t="str">
        <x:v>https://s26.q4cdn.com/410417801/files/doc_financials/2025/AR/2026-Travelers-Annual-Report-Final.pdf</x:v>
      </x:c>
      <x:c r="I644" t="str">
        <x:v>https://www.sec.gov/Archives/edgar/data/86312/000008631226000065/0000086312-26-000065-index.htm</x:v>
      </x:c>
      <x:c r="J644" t="str">
        <x:v>94fc0b121687402eac9a025d2701d2fe93c0789143797961ad6faad1c6dcb5b6</x:v>
      </x:c>
    </x:row>
    <x:row r="645">
      <x:c r="A645" t="n">
        <x:v>2025</x:v>
      </x:c>
      <x:c r="B645" t="str">
        <x:v>other_investment_sale_proceeds</x:v>
      </x:c>
      <x:c r="C645" s="1" t="n">
        <x:v>321</x:v>
      </x:c>
      <x:c r="D645" t="str">
        <x:v>disclosed</x:v>
      </x:c>
      <x:c r="E645" t="str">
        <x:v>trv_ar_2025</x:v>
      </x:c>
      <x:c r="F645" t="n">
        <x:v>161</x:v>
      </x:c>
      <x:c r="G645" t="str">
        <x:v>2026-02-12</x:v>
      </x:c>
      <x:c r="H645" t="str">
        <x:v>https://s26.q4cdn.com/410417801/files/doc_financials/2025/AR/2026-Travelers-Annual-Report-Final.pdf</x:v>
      </x:c>
      <x:c r="I645" t="str">
        <x:v>https://www.sec.gov/Archives/edgar/data/86312/000008631226000065/0000086312-26-000065-index.htm</x:v>
      </x:c>
      <x:c r="J645" t="str">
        <x:v>94fc0b121687402eac9a025d2701d2fe93c0789143797961ad6faad1c6dcb5b6</x:v>
      </x:c>
    </x:row>
    <x:row r="646">
      <x:c r="A646" t="n">
        <x:v>2025</x:v>
      </x:c>
      <x:c r="B646" t="str">
        <x:v>other_investments</x:v>
      </x:c>
      <x:c r="C646" s="1" t="n">
        <x:v>4115</x:v>
      </x:c>
      <x:c r="D646" t="str">
        <x:v>disclosed</x:v>
      </x:c>
      <x:c r="E646" t="str">
        <x:v>trv_ar_2025</x:v>
      </x:c>
      <x:c r="F646" t="n">
        <x:v>159</x:v>
      </x:c>
      <x:c r="G646" t="str">
        <x:v>2026-02-12</x:v>
      </x:c>
      <x:c r="H646" t="str">
        <x:v>https://s26.q4cdn.com/410417801/files/doc_financials/2025/AR/2026-Travelers-Annual-Report-Final.pdf</x:v>
      </x:c>
      <x:c r="I646" t="str">
        <x:v>https://www.sec.gov/Archives/edgar/data/86312/000008631226000065/0000086312-26-000065-index.htm</x:v>
      </x:c>
      <x:c r="J646" t="str">
        <x:v>94fc0b121687402eac9a025d2701d2fe93c0789143797961ad6faad1c6dcb5b6</x:v>
      </x:c>
    </x:row>
    <x:row r="647">
      <x:c r="A647" t="n">
        <x:v>2025</x:v>
      </x:c>
      <x:c r="B647" t="str">
        <x:v>other_liabilities</x:v>
      </x:c>
      <x:c r="C647" s="1" t="n">
        <x:v>7282</x:v>
      </x:c>
      <x:c r="D647" t="str">
        <x:v>disclosed</x:v>
      </x:c>
      <x:c r="E647" t="str">
        <x:v>trv_ar_2025</x:v>
      </x:c>
      <x:c r="F647" t="n">
        <x:v>159</x:v>
      </x:c>
      <x:c r="G647" t="str">
        <x:v>2026-02-12</x:v>
      </x:c>
      <x:c r="H647" t="str">
        <x:v>https://s26.q4cdn.com/410417801/files/doc_financials/2025/AR/2026-Travelers-Annual-Report-Final.pdf</x:v>
      </x:c>
      <x:c r="I647" t="str">
        <x:v>https://www.sec.gov/Archives/edgar/data/86312/000008631226000065/0000086312-26-000065-index.htm</x:v>
      </x:c>
      <x:c r="J647" t="str">
        <x:v>94fc0b121687402eac9a025d2701d2fe93c0789143797961ad6faad1c6dcb5b6</x:v>
      </x:c>
    </x:row>
    <x:row r="648">
      <x:c r="A648" t="n">
        <x:v>2025</x:v>
      </x:c>
      <x:c r="B648" t="str">
        <x:v>other_revenue</x:v>
      </x:c>
      <x:c r="C648" s="1" t="n">
        <x:v>508</x:v>
      </x:c>
      <x:c r="D648" t="str">
        <x:v>disclosed</x:v>
      </x:c>
      <x:c r="E648" t="str">
        <x:v>trv_ar_2025</x:v>
      </x:c>
      <x:c r="F648" t="n">
        <x:v>157</x:v>
      </x:c>
      <x:c r="G648" t="str">
        <x:v>2026-02-12</x:v>
      </x:c>
      <x:c r="H648" t="str">
        <x:v>https://s26.q4cdn.com/410417801/files/doc_financials/2025/AR/2026-Travelers-Annual-Report-Final.pdf</x:v>
      </x:c>
      <x:c r="I648" t="str">
        <x:v>https://www.sec.gov/Archives/edgar/data/86312/000008631226000065/0000086312-26-000065-index.htm</x:v>
      </x:c>
      <x:c r="J648" t="str">
        <x:v>94fc0b121687402eac9a025d2701d2fe93c0789143797961ad6faad1c6dcb5b6</x:v>
      </x:c>
    </x:row>
    <x:row r="649">
      <x:c r="A649" t="n">
        <x:v>2025</x:v>
      </x:c>
      <x:c r="B649" t="str">
        <x:v>paid_current</x:v>
      </x:c>
      <x:c r="C649" s="1" t="n">
        <x:v>10606</x:v>
      </x:c>
      <x:c r="D649" t="str">
        <x:v>disclosed</x:v>
      </x:c>
      <x:c r="E649" t="str">
        <x:v>trv_ar_2025</x:v>
      </x:c>
      <x:c r="F649" t="n">
        <x:v>195</x:v>
      </x:c>
      <x:c r="G649" t="str">
        <x:v>2026-02-12</x:v>
      </x:c>
      <x:c r="H649" t="str">
        <x:v>https://s26.q4cdn.com/410417801/files/doc_financials/2025/AR/2026-Travelers-Annual-Report-Final.pdf</x:v>
      </x:c>
      <x:c r="I649" t="str">
        <x:v>https://www.sec.gov/Archives/edgar/data/86312/000008631226000065/0000086312-26-000065-index.htm</x:v>
      </x:c>
      <x:c r="J649" t="str">
        <x:v>94fc0b121687402eac9a025d2701d2fe93c0789143797961ad6faad1c6dcb5b6</x:v>
      </x:c>
    </x:row>
    <x:row r="650">
      <x:c r="A650" t="n">
        <x:v>2025</x:v>
      </x:c>
      <x:c r="B650" t="str">
        <x:v>paid_prior</x:v>
      </x:c>
      <x:c r="C650" s="1" t="n">
        <x:v>13307</x:v>
      </x:c>
      <x:c r="D650" t="str">
        <x:v>disclosed</x:v>
      </x:c>
      <x:c r="E650" t="str">
        <x:v>trv_ar_2025</x:v>
      </x:c>
      <x:c r="F650" t="n">
        <x:v>195</x:v>
      </x:c>
      <x:c r="G650" t="str">
        <x:v>2026-02-12</x:v>
      </x:c>
      <x:c r="H650" t="str">
        <x:v>https://s26.q4cdn.com/410417801/files/doc_financials/2025/AR/2026-Travelers-Annual-Report-Final.pdf</x:v>
      </x:c>
      <x:c r="I650" t="str">
        <x:v>https://www.sec.gov/Archives/edgar/data/86312/000008631226000065/0000086312-26-000065-index.htm</x:v>
      </x:c>
      <x:c r="J650" t="str">
        <x:v>94fc0b121687402eac9a025d2701d2fe93c0789143797961ad6faad1c6dcb5b6</x:v>
      </x:c>
    </x:row>
    <x:row r="651">
      <x:c r="A651" t="n">
        <x:v>2025</x:v>
      </x:c>
      <x:c r="B651" t="str">
        <x:v>premium_receivables</x:v>
      </x:c>
      <x:c r="C651" s="1" t="n">
        <x:v>10992</x:v>
      </x:c>
      <x:c r="D651" t="str">
        <x:v>disclosed</x:v>
      </x:c>
      <x:c r="E651" t="str">
        <x:v>trv_ar_2025</x:v>
      </x:c>
      <x:c r="F651" t="n">
        <x:v>159</x:v>
      </x:c>
      <x:c r="G651" t="str">
        <x:v>2026-02-12</x:v>
      </x:c>
      <x:c r="H651" t="str">
        <x:v>https://s26.q4cdn.com/410417801/files/doc_financials/2025/AR/2026-Travelers-Annual-Report-Final.pdf</x:v>
      </x:c>
      <x:c r="I651" t="str">
        <x:v>https://www.sec.gov/Archives/edgar/data/86312/000008631226000065/0000086312-26-000065-index.htm</x:v>
      </x:c>
      <x:c r="J651" t="str">
        <x:v>94fc0b121687402eac9a025d2701d2fe93c0789143797961ad6faad1c6dcb5b6</x:v>
      </x:c>
    </x:row>
    <x:row r="652">
      <x:c r="A652" t="n">
        <x:v>2025</x:v>
      </x:c>
      <x:c r="B652" t="str">
        <x:v>pretax_income</x:v>
      </x:c>
      <x:c r="C652" s="1" t="n">
        <x:v>7796</x:v>
      </x:c>
      <x:c r="D652" t="str">
        <x:v>disclosed</x:v>
      </x:c>
      <x:c r="E652" t="str">
        <x:v>trv_ar_2025</x:v>
      </x:c>
      <x:c r="F652" t="n">
        <x:v>157</x:v>
      </x:c>
      <x:c r="G652" t="str">
        <x:v>2026-02-12</x:v>
      </x:c>
      <x:c r="H652" t="str">
        <x:v>https://s26.q4cdn.com/410417801/files/doc_financials/2025/AR/2026-Travelers-Annual-Report-Final.pdf</x:v>
      </x:c>
      <x:c r="I652" t="str">
        <x:v>https://www.sec.gov/Archives/edgar/data/86312/000008631226000065/0000086312-26-000065-index.htm</x:v>
      </x:c>
      <x:c r="J652" t="str">
        <x:v>94fc0b121687402eac9a025d2701d2fe93c0789143797961ad6faad1c6dcb5b6</x:v>
      </x:c>
    </x:row>
    <x:row r="653">
      <x:c r="A653" t="n">
        <x:v>2025</x:v>
      </x:c>
      <x:c r="B653" t="str">
        <x:v>real_estate_investments</x:v>
      </x:c>
      <x:c r="C653" s="1" t="n">
        <x:v>900</x:v>
      </x:c>
      <x:c r="D653" t="str">
        <x:v>disclosed</x:v>
      </x:c>
      <x:c r="E653" t="str">
        <x:v>trv_ar_2025</x:v>
      </x:c>
      <x:c r="F653" t="n">
        <x:v>159</x:v>
      </x:c>
      <x:c r="G653" t="str">
        <x:v>2026-02-12</x:v>
      </x:c>
      <x:c r="H653" t="str">
        <x:v>https://s26.q4cdn.com/410417801/files/doc_financials/2025/AR/2026-Travelers-Annual-Report-Final.pdf</x:v>
      </x:c>
      <x:c r="I653" t="str">
        <x:v>https://www.sec.gov/Archives/edgar/data/86312/000008631226000065/0000086312-26-000065-index.htm</x:v>
      </x:c>
      <x:c r="J653" t="str">
        <x:v>94fc0b121687402eac9a025d2701d2fe93c0789143797961ad6faad1c6dcb5b6</x:v>
      </x:c>
    </x:row>
    <x:row r="654">
      <x:c r="A654" t="n">
        <x:v>2025</x:v>
      </x:c>
      <x:c r="B654" t="str">
        <x:v>real_estate_purchases</x:v>
      </x:c>
      <x:c r="C654" s="1" t="n">
        <x:v>48</x:v>
      </x:c>
      <x:c r="D654" t="str">
        <x:v>disclosed</x:v>
      </x:c>
      <x:c r="E654" t="str">
        <x:v>trv_ar_2025</x:v>
      </x:c>
      <x:c r="F654" t="n">
        <x:v>161</x:v>
      </x:c>
      <x:c r="G654" t="str">
        <x:v>2026-02-12</x:v>
      </x:c>
      <x:c r="H654" t="str">
        <x:v>https://s26.q4cdn.com/410417801/files/doc_financials/2025/AR/2026-Travelers-Annual-Report-Final.pdf</x:v>
      </x:c>
      <x:c r="I654" t="str">
        <x:v>https://www.sec.gov/Archives/edgar/data/86312/000008631226000065/0000086312-26-000065-index.htm</x:v>
      </x:c>
      <x:c r="J654" t="str">
        <x:v>94fc0b121687402eac9a025d2701d2fe93c0789143797961ad6faad1c6dcb5b6</x:v>
      </x:c>
    </x:row>
    <x:row r="655">
      <x:c r="A655" t="n">
        <x:v>2025</x:v>
      </x:c>
      <x:c r="B655" t="str">
        <x:v>real_estate_sale_proceeds</x:v>
      </x:c>
      <x:c r="C655" s="1" t="n">
        <x:v>0</x:v>
      </x:c>
      <x:c r="D655" t="str">
        <x:v>disclosed</x:v>
      </x:c>
      <x:c r="E655" t="str">
        <x:v>trv_ar_2025</x:v>
      </x:c>
      <x:c r="F655" t="n">
        <x:v>161</x:v>
      </x:c>
      <x:c r="G655" t="str">
        <x:v>2026-02-12</x:v>
      </x:c>
      <x:c r="H655" t="str">
        <x:v>https://s26.q4cdn.com/410417801/files/doc_financials/2025/AR/2026-Travelers-Annual-Report-Final.pdf</x:v>
      </x:c>
      <x:c r="I655" t="str">
        <x:v>https://www.sec.gov/Archives/edgar/data/86312/000008631226000065/0000086312-26-000065-index.htm</x:v>
      </x:c>
      <x:c r="J655" t="str">
        <x:v>94fc0b121687402eac9a025d2701d2fe93c0789143797961ad6faad1c6dcb5b6</x:v>
      </x:c>
    </x:row>
    <x:row r="656">
      <x:c r="A656" t="n">
        <x:v>2025</x:v>
      </x:c>
      <x:c r="B656" t="str">
        <x:v>realized_gains</x:v>
      </x:c>
      <x:c r="C656" s="1" t="n">
        <x:v>-48</x:v>
      </x:c>
      <x:c r="D656" t="str">
        <x:v>disclosed</x:v>
      </x:c>
      <x:c r="E656" t="str">
        <x:v>trv_ar_2025</x:v>
      </x:c>
      <x:c r="F656" t="n">
        <x:v>157</x:v>
      </x:c>
      <x:c r="G656" t="str">
        <x:v>2026-02-12</x:v>
      </x:c>
      <x:c r="H656" t="str">
        <x:v>https://s26.q4cdn.com/410417801/files/doc_financials/2025/AR/2026-Travelers-Annual-Report-Final.pdf</x:v>
      </x:c>
      <x:c r="I656" t="str">
        <x:v>https://www.sec.gov/Archives/edgar/data/86312/000008631226000065/0000086312-26-000065-index.htm</x:v>
      </x:c>
      <x:c r="J656" t="str">
        <x:v>94fc0b121687402eac9a025d2701d2fe93c0789143797961ad6faad1c6dcb5b6</x:v>
      </x:c>
    </x:row>
    <x:row r="657">
      <x:c r="A657" t="n">
        <x:v>2025</x:v>
      </x:c>
      <x:c r="B657" t="str">
        <x:v>reinsurance_premium_payables</x:v>
      </x:c>
      <x:c r="C657" s="1" t="n">
        <x:v>529</x:v>
      </x:c>
      <x:c r="D657" t="str">
        <x:v>disclosed</x:v>
      </x:c>
      <x:c r="E657" t="str">
        <x:v>trv_ar_2025</x:v>
      </x:c>
      <x:c r="F657" t="n">
        <x:v>159</x:v>
      </x:c>
      <x:c r="G657" t="str">
        <x:v>2026-02-12</x:v>
      </x:c>
      <x:c r="H657" t="str">
        <x:v>https://s26.q4cdn.com/410417801/files/doc_financials/2025/AR/2026-Travelers-Annual-Report-Final.pdf</x:v>
      </x:c>
      <x:c r="I657" t="str">
        <x:v>https://www.sec.gov/Archives/edgar/data/86312/000008631226000065/0000086312-26-000065-index.htm</x:v>
      </x:c>
      <x:c r="J657" t="str">
        <x:v>94fc0b121687402eac9a025d2701d2fe93c0789143797961ad6faad1c6dcb5b6</x:v>
      </x:c>
    </x:row>
    <x:row r="658">
      <x:c r="A658" t="n">
        <x:v>2025</x:v>
      </x:c>
      <x:c r="B658" t="str">
        <x:v>reported_opening_net_after_adoption</x:v>
      </x:c>
      <x:c r="C658" s="1" t="n">
        <x:v>56419</x:v>
      </x:c>
      <x:c r="D658" t="str">
        <x:v>disclosed</x:v>
      </x:c>
      <x:c r="E658" t="str">
        <x:v>trv_ar_2025</x:v>
      </x:c>
      <x:c r="F658" t="n">
        <x:v>195</x:v>
      </x:c>
      <x:c r="G658" t="str">
        <x:v>2026-02-12</x:v>
      </x:c>
      <x:c r="H658" t="str">
        <x:v>https://s26.q4cdn.com/410417801/files/doc_financials/2025/AR/2026-Travelers-Annual-Report-Final.pdf</x:v>
      </x:c>
      <x:c r="I658" t="str">
        <x:v>https://www.sec.gov/Archives/edgar/data/86312/000008631226000065/0000086312-26-000065-index.htm</x:v>
      </x:c>
      <x:c r="J658" t="str">
        <x:v>94fc0b121687402eac9a025d2701d2fe93c0789143797961ad6faad1c6dcb5b6</x:v>
      </x:c>
    </x:row>
    <x:row r="659">
      <x:c r="A659" t="n">
        <x:v>2025</x:v>
      </x:c>
      <x:c r="B659" t="str">
        <x:v>reported_total_incurred</x:v>
      </x:c>
      <x:c r="C659" s="1" t="n">
        <x:v>27112</x:v>
      </x:c>
      <x:c r="D659" t="str">
        <x:v>disclosed</x:v>
      </x:c>
      <x:c r="E659" t="str">
        <x:v>trv_ar_2025</x:v>
      </x:c>
      <x:c r="F659" t="n">
        <x:v>195</x:v>
      </x:c>
      <x:c r="G659" t="str">
        <x:v>2026-02-12</x:v>
      </x:c>
      <x:c r="H659" t="str">
        <x:v>https://s26.q4cdn.com/410417801/files/doc_financials/2025/AR/2026-Travelers-Annual-Report-Final.pdf</x:v>
      </x:c>
      <x:c r="I659" t="str">
        <x:v>https://www.sec.gov/Archives/edgar/data/86312/000008631226000065/0000086312-26-000065-index.htm</x:v>
      </x:c>
      <x:c r="J659" t="str">
        <x:v>94fc0b121687402eac9a025d2701d2fe93c0789143797961ad6faad1c6dcb5b6</x:v>
      </x:c>
    </x:row>
    <x:row r="660">
      <x:c r="A660" t="n">
        <x:v>2025</x:v>
      </x:c>
      <x:c r="B660" t="str">
        <x:v>reported_total_paid</x:v>
      </x:c>
      <x:c r="C660" s="1" t="n">
        <x:v>23913</x:v>
      </x:c>
      <x:c r="D660" t="str">
        <x:v>disclosed</x:v>
      </x:c>
      <x:c r="E660" t="str">
        <x:v>trv_ar_2025</x:v>
      </x:c>
      <x:c r="F660" t="n">
        <x:v>195</x:v>
      </x:c>
      <x:c r="G660" t="str">
        <x:v>2026-02-12</x:v>
      </x:c>
      <x:c r="H660" t="str">
        <x:v>https://s26.q4cdn.com/410417801/files/doc_financials/2025/AR/2026-Travelers-Annual-Report-Final.pdf</x:v>
      </x:c>
      <x:c r="I660" t="str">
        <x:v>https://www.sec.gov/Archives/edgar/data/86312/000008631226000065/0000086312-26-000065-index.htm</x:v>
      </x:c>
      <x:c r="J660" t="str">
        <x:v>94fc0b121687402eac9a025d2701d2fe93c0789143797961ad6faad1c6dcb5b6</x:v>
      </x:c>
    </x:row>
    <x:row r="661">
      <x:c r="A661" t="n">
        <x:v>2025</x:v>
      </x:c>
      <x:c r="B661" t="str">
        <x:v>reserve_fx_other</x:v>
      </x:c>
      <x:c r="C661" s="1" t="n">
        <x:v>228</x:v>
      </x:c>
      <x:c r="D661" t="str">
        <x:v>disclosed</x:v>
      </x:c>
      <x:c r="E661" t="str">
        <x:v>trv_ar_2025</x:v>
      </x:c>
      <x:c r="F661" t="n">
        <x:v>195</x:v>
      </x:c>
      <x:c r="G661" t="str">
        <x:v>2026-02-12</x:v>
      </x:c>
      <x:c r="H661" t="str">
        <x:v>https://s26.q4cdn.com/410417801/files/doc_financials/2025/AR/2026-Travelers-Annual-Report-Final.pdf</x:v>
      </x:c>
      <x:c r="I661" t="str">
        <x:v>https://www.sec.gov/Archives/edgar/data/86312/000008631226000065/0000086312-26-000065-index.htm</x:v>
      </x:c>
      <x:c r="J661" t="str">
        <x:v>94fc0b121687402eac9a025d2701d2fe93c0789143797961ad6faad1c6dcb5b6</x:v>
      </x:c>
    </x:row>
    <x:row r="662">
      <x:c r="A662" t="n">
        <x:v>2025</x:v>
      </x:c>
      <x:c r="B662" t="str">
        <x:v>reserve_prior_incurred</x:v>
      </x:c>
      <x:c r="C662" s="1" t="n">
        <x:v>-939</x:v>
      </x:c>
      <x:c r="D662" t="str">
        <x:v>disclosed</x:v>
      </x:c>
      <x:c r="E662" t="str">
        <x:v>trv_ar_2025</x:v>
      </x:c>
      <x:c r="F662" t="n">
        <x:v>195</x:v>
      </x:c>
      <x:c r="G662" t="str">
        <x:v>2026-02-12</x:v>
      </x:c>
      <x:c r="H662" t="str">
        <x:v>https://s26.q4cdn.com/410417801/files/doc_financials/2025/AR/2026-Travelers-Annual-Report-Final.pdf</x:v>
      </x:c>
      <x:c r="I662" t="str">
        <x:v>https://www.sec.gov/Archives/edgar/data/86312/000008631226000065/0000086312-26-000065-index.htm</x:v>
      </x:c>
      <x:c r="J662" t="str">
        <x:v>94fc0b121687402eac9a025d2701d2fe93c0789143797961ad6faad1c6dcb5b6</x:v>
      </x:c>
    </x:row>
    <x:row r="663">
      <x:c r="A663" t="n">
        <x:v>2025</x:v>
      </x:c>
      <x:c r="B663" t="str">
        <x:v>reserve_total_incurred</x:v>
      </x:c>
      <x:c r="C663" s="1" t="n">
        <x:v>27112</x:v>
      </x:c>
      <x:c r="D663" t="str">
        <x:v>derived</x:v>
      </x:c>
      <x:c r="E663" t="str">
        <x:v>trv_ar_2025</x:v>
      </x:c>
      <x:c r="F663" t="n">
        <x:v>195</x:v>
      </x:c>
      <x:c r="G663" t="str">
        <x:v>2026-02-12</x:v>
      </x:c>
      <x:c r="H663" t="str">
        <x:v>https://s26.q4cdn.com/410417801/files/doc_financials/2025/AR/2026-Travelers-Annual-Report-Final.pdf</x:v>
      </x:c>
      <x:c r="I663" t="str">
        <x:v>https://www.sec.gov/Archives/edgar/data/86312/000008631226000065/0000086312-26-000065-index.htm</x:v>
      </x:c>
      <x:c r="J663" t="str">
        <x:v>94fc0b121687402eac9a025d2701d2fe93c0789143797961ad6faad1c6dcb5b6</x:v>
      </x:c>
    </x:row>
    <x:row r="664">
      <x:c r="A664" t="n">
        <x:v>2025</x:v>
      </x:c>
      <x:c r="B664" t="str">
        <x:v>retained_earnings</x:v>
      </x:c>
      <x:c r="C664" s="1" t="n">
        <x:v>54931</x:v>
      </x:c>
      <x:c r="D664" t="str">
        <x:v>disclosed</x:v>
      </x:c>
      <x:c r="E664" t="str">
        <x:v>trv_ar_2025</x:v>
      </x:c>
      <x:c r="F664" t="n">
        <x:v>159</x:v>
      </x:c>
      <x:c r="G664" t="str">
        <x:v>2026-02-12</x:v>
      </x:c>
      <x:c r="H664" t="str">
        <x:v>https://s26.q4cdn.com/410417801/files/doc_financials/2025/AR/2026-Travelers-Annual-Report-Final.pdf</x:v>
      </x:c>
      <x:c r="I664" t="str">
        <x:v>https://www.sec.gov/Archives/edgar/data/86312/000008631226000065/0000086312-26-000065-index.htm</x:v>
      </x:c>
      <x:c r="J664" t="str">
        <x:v>94fc0b121687402eac9a025d2701d2fe93c0789143797961ad6faad1c6dcb5b6</x:v>
      </x:c>
    </x:row>
    <x:row r="665">
      <x:c r="A665" t="n">
        <x:v>2025</x:v>
      </x:c>
      <x:c r="B665" t="str">
        <x:v>retained_earnings_other</x:v>
      </x:c>
      <x:c r="C665" s="1" t="n">
        <x:v>0</x:v>
      </x:c>
      <x:c r="D665" t="str">
        <x:v>disclosed</x:v>
      </x:c>
      <x:c r="E665" t="str">
        <x:v>trv_ar_2025</x:v>
      </x:c>
      <x:c r="F665" t="n">
        <x:v>160</x:v>
      </x:c>
      <x:c r="G665" t="str">
        <x:v>2026-02-12</x:v>
      </x:c>
      <x:c r="H665" t="str">
        <x:v>https://s26.q4cdn.com/410417801/files/doc_financials/2025/AR/2026-Travelers-Annual-Report-Final.pdf</x:v>
      </x:c>
      <x:c r="I665" t="str">
        <x:v>https://www.sec.gov/Archives/edgar/data/86312/000008631226000065/0000086312-26-000065-index.htm</x:v>
      </x:c>
      <x:c r="J665" t="str">
        <x:v>94fc0b121687402eac9a025d2701d2fe93c0789143797961ad6faad1c6dcb5b6</x:v>
      </x:c>
    </x:row>
    <x:row r="666">
      <x:c r="A666" t="n">
        <x:v>2025</x:v>
      </x:c>
      <x:c r="B666" t="str">
        <x:v>share_buybacks_cash</x:v>
      </x:c>
      <x:c r="C666" s="1" t="n">
        <x:v>3004</x:v>
      </x:c>
      <x:c r="D666" t="str">
        <x:v>disclosed</x:v>
      </x:c>
      <x:c r="E666" t="str">
        <x:v>trv_ar_2025</x:v>
      </x:c>
      <x:c r="F666" t="n">
        <x:v>161</x:v>
      </x:c>
      <x:c r="G666" t="str">
        <x:v>2026-02-12</x:v>
      </x:c>
      <x:c r="H666" t="str">
        <x:v>https://s26.q4cdn.com/410417801/files/doc_financials/2025/AR/2026-Travelers-Annual-Report-Final.pdf</x:v>
      </x:c>
      <x:c r="I666" t="str">
        <x:v>https://www.sec.gov/Archives/edgar/data/86312/000008631226000065/0000086312-26-000065-index.htm</x:v>
      </x:c>
      <x:c r="J666" t="str">
        <x:v>94fc0b121687402eac9a025d2701d2fe93c0789143797961ad6faad1c6dcb5b6</x:v>
      </x:c>
    </x:row>
    <x:row r="667">
      <x:c r="A667" t="n">
        <x:v>2025</x:v>
      </x:c>
      <x:c r="B667" t="str">
        <x:v>short_term_investments</x:v>
      </x:c>
      <x:c r="C667" s="1" t="n">
        <x:v>5716</x:v>
      </x:c>
      <x:c r="D667" t="str">
        <x:v>disclosed</x:v>
      </x:c>
      <x:c r="E667" t="str">
        <x:v>trv_ar_2025</x:v>
      </x:c>
      <x:c r="F667" t="n">
        <x:v>159</x:v>
      </x:c>
      <x:c r="G667" t="str">
        <x:v>2026-02-12</x:v>
      </x:c>
      <x:c r="H667" t="str">
        <x:v>https://s26.q4cdn.com/410417801/files/doc_financials/2025/AR/2026-Travelers-Annual-Report-Final.pdf</x:v>
      </x:c>
      <x:c r="I667" t="str">
        <x:v>https://www.sec.gov/Archives/edgar/data/86312/000008631226000065/0000086312-26-000065-index.htm</x:v>
      </x:c>
      <x:c r="J667" t="str">
        <x:v>94fc0b121687402eac9a025d2701d2fe93c0789143797961ad6faad1c6dcb5b6</x:v>
      </x:c>
    </x:row>
    <x:row r="668">
      <x:c r="A668" t="n">
        <x:v>2025</x:v>
      </x:c>
      <x:c r="B668" t="str">
        <x:v>short_term_net_sales</x:v>
      </x:c>
      <x:c r="C668" s="1" t="n">
        <x:v>-945</x:v>
      </x:c>
      <x:c r="D668" t="str">
        <x:v>disclosed</x:v>
      </x:c>
      <x:c r="E668" t="str">
        <x:v>trv_ar_2025</x:v>
      </x:c>
      <x:c r="F668" t="n">
        <x:v>161</x:v>
      </x:c>
      <x:c r="G668" t="str">
        <x:v>2026-02-12</x:v>
      </x:c>
      <x:c r="H668" t="str">
        <x:v>https://s26.q4cdn.com/410417801/files/doc_financials/2025/AR/2026-Travelers-Annual-Report-Final.pdf</x:v>
      </x:c>
      <x:c r="I668" t="str">
        <x:v>https://www.sec.gov/Archives/edgar/data/86312/000008631226000065/0000086312-26-000065-index.htm</x:v>
      </x:c>
      <x:c r="J668" t="str">
        <x:v>94fc0b121687402eac9a025d2701d2fe93c0789143797961ad6faad1c6dcb5b6</x:v>
      </x:c>
    </x:row>
    <x:row r="669">
      <x:c r="A669" t="n">
        <x:v>2025</x:v>
      </x:c>
      <x:c r="B669" t="str">
        <x:v>stock_comp_and_other_equity</x:v>
      </x:c>
      <x:c r="C669" s="1" t="n">
        <x:v>256</x:v>
      </x:c>
      <x:c r="D669" t="str">
        <x:v>disclosed</x:v>
      </x:c>
      <x:c r="E669" t="str">
        <x:v>trv_ar_2025</x:v>
      </x:c>
      <x:c r="F669" t="n">
        <x:v>160</x:v>
      </x:c>
      <x:c r="G669" t="str">
        <x:v>2026-02-12</x:v>
      </x:c>
      <x:c r="H669" t="str">
        <x:v>https://s26.q4cdn.com/410417801/files/doc_financials/2025/AR/2026-Travelers-Annual-Report-Final.pdf</x:v>
      </x:c>
      <x:c r="I669" t="str">
        <x:v>https://www.sec.gov/Archives/edgar/data/86312/000008631226000065/0000086312-26-000065-index.htm</x:v>
      </x:c>
      <x:c r="J669" t="str">
        <x:v>94fc0b121687402eac9a025d2701d2fe93c0789143797961ad6faad1c6dcb5b6</x:v>
      </x:c>
    </x:row>
    <x:row r="670">
      <x:c r="A670" t="n">
        <x:v>2025</x:v>
      </x:c>
      <x:c r="B670" t="str">
        <x:v>tax_expense</x:v>
      </x:c>
      <x:c r="C670" s="1" t="n">
        <x:v>1508</x:v>
      </x:c>
      <x:c r="D670" t="str">
        <x:v>disclosed</x:v>
      </x:c>
      <x:c r="E670" t="str">
        <x:v>trv_ar_2025</x:v>
      </x:c>
      <x:c r="F670" t="n">
        <x:v>157</x:v>
      </x:c>
      <x:c r="G670" t="str">
        <x:v>2026-02-12</x:v>
      </x:c>
      <x:c r="H670" t="str">
        <x:v>https://s26.q4cdn.com/410417801/files/doc_financials/2025/AR/2026-Travelers-Annual-Report-Final.pdf</x:v>
      </x:c>
      <x:c r="I670" t="str">
        <x:v>https://www.sec.gov/Archives/edgar/data/86312/000008631226000065/0000086312-26-000065-index.htm</x:v>
      </x:c>
      <x:c r="J670" t="str">
        <x:v>94fc0b121687402eac9a025d2701d2fe93c0789143797961ad6faad1c6dcb5b6</x:v>
      </x:c>
    </x:row>
    <x:row r="671">
      <x:c r="A671" t="n">
        <x:v>2025</x:v>
      </x:c>
      <x:c r="B671" t="str">
        <x:v>total_assets</x:v>
      </x:c>
      <x:c r="C671" s="1" t="n">
        <x:v>143708</x:v>
      </x:c>
      <x:c r="D671" t="str">
        <x:v>disclosed</x:v>
      </x:c>
      <x:c r="E671" t="str">
        <x:v>trv_ar_2025</x:v>
      </x:c>
      <x:c r="F671" t="n">
        <x:v>159</x:v>
      </x:c>
      <x:c r="G671" t="str">
        <x:v>2026-02-12</x:v>
      </x:c>
      <x:c r="H671" t="str">
        <x:v>https://s26.q4cdn.com/410417801/files/doc_financials/2025/AR/2026-Travelers-Annual-Report-Final.pdf</x:v>
      </x:c>
      <x:c r="I671" t="str">
        <x:v>https://www.sec.gov/Archives/edgar/data/86312/000008631226000065/0000086312-26-000065-index.htm</x:v>
      </x:c>
      <x:c r="J671" t="str">
        <x:v>94fc0b121687402eac9a025d2701d2fe93c0789143797961ad6faad1c6dcb5b6</x:v>
      </x:c>
    </x:row>
    <x:row r="672">
      <x:c r="A672" t="n">
        <x:v>2025</x:v>
      </x:c>
      <x:c r="B672" t="str">
        <x:v>total_expenses</x:v>
      </x:c>
      <x:c r="C672" s="1" t="n">
        <x:v>41032</x:v>
      </x:c>
      <x:c r="D672" t="str">
        <x:v>disclosed</x:v>
      </x:c>
      <x:c r="E672" t="str">
        <x:v>trv_ar_2025</x:v>
      </x:c>
      <x:c r="F672" t="n">
        <x:v>157</x:v>
      </x:c>
      <x:c r="G672" t="str">
        <x:v>2026-02-12</x:v>
      </x:c>
      <x:c r="H672" t="str">
        <x:v>https://s26.q4cdn.com/410417801/files/doc_financials/2025/AR/2026-Travelers-Annual-Report-Final.pdf</x:v>
      </x:c>
      <x:c r="I672" t="str">
        <x:v>https://www.sec.gov/Archives/edgar/data/86312/000008631226000065/0000086312-26-000065-index.htm</x:v>
      </x:c>
      <x:c r="J672" t="str">
        <x:v>94fc0b121687402eac9a025d2701d2fe93c0789143797961ad6faad1c6dcb5b6</x:v>
      </x:c>
    </x:row>
    <x:row r="673">
      <x:c r="A673" t="n">
        <x:v>2025</x:v>
      </x:c>
      <x:c r="B673" t="str">
        <x:v>total_investments</x:v>
      </x:c>
      <x:c r="C673" s="1" t="n">
        <x:v>101182</x:v>
      </x:c>
      <x:c r="D673" t="str">
        <x:v>disclosed</x:v>
      </x:c>
      <x:c r="E673" t="str">
        <x:v>trv_ar_2025</x:v>
      </x:c>
      <x:c r="F673" t="n">
        <x:v>159</x:v>
      </x:c>
      <x:c r="G673" t="str">
        <x:v>2026-02-12</x:v>
      </x:c>
      <x:c r="H673" t="str">
        <x:v>https://s26.q4cdn.com/410417801/files/doc_financials/2025/AR/2026-Travelers-Annual-Report-Final.pdf</x:v>
      </x:c>
      <x:c r="I673" t="str">
        <x:v>https://www.sec.gov/Archives/edgar/data/86312/000008631226000065/0000086312-26-000065-index.htm</x:v>
      </x:c>
      <x:c r="J673" t="str">
        <x:v>94fc0b121687402eac9a025d2701d2fe93c0789143797961ad6faad1c6dcb5b6</x:v>
      </x:c>
    </x:row>
    <x:row r="674">
      <x:c r="A674" t="n">
        <x:v>2025</x:v>
      </x:c>
      <x:c r="B674" t="str">
        <x:v>total_liabilities</x:v>
      </x:c>
      <x:c r="C674" s="1" t="n">
        <x:v>110814</x:v>
      </x:c>
      <x:c r="D674" t="str">
        <x:v>disclosed</x:v>
      </x:c>
      <x:c r="E674" t="str">
        <x:v>trv_ar_2025</x:v>
      </x:c>
      <x:c r="F674" t="n">
        <x:v>159</x:v>
      </x:c>
      <x:c r="G674" t="str">
        <x:v>2026-02-12</x:v>
      </x:c>
      <x:c r="H674" t="str">
        <x:v>https://s26.q4cdn.com/410417801/files/doc_financials/2025/AR/2026-Travelers-Annual-Report-Final.pdf</x:v>
      </x:c>
      <x:c r="I674" t="str">
        <x:v>https://www.sec.gov/Archives/edgar/data/86312/000008631226000065/0000086312-26-000065-index.htm</x:v>
      </x:c>
      <x:c r="J674" t="str">
        <x:v>94fc0b121687402eac9a025d2701d2fe93c0789143797961ad6faad1c6dcb5b6</x:v>
      </x:c>
    </x:row>
    <x:row r="675">
      <x:c r="A675" t="n">
        <x:v>2025</x:v>
      </x:c>
      <x:c r="B675" t="str">
        <x:v>total_oci</x:v>
      </x:c>
      <x:c r="C675" s="1" t="n">
        <x:v>2467</x:v>
      </x:c>
      <x:c r="D675" t="str">
        <x:v>disclosed</x:v>
      </x:c>
      <x:c r="E675" t="str">
        <x:v>trv_ar_2025</x:v>
      </x:c>
      <x:c r="F675" t="n">
        <x:v>160</x:v>
      </x:c>
      <x:c r="G675" t="str">
        <x:v>2026-02-12</x:v>
      </x:c>
      <x:c r="H675" t="str">
        <x:v>https://s26.q4cdn.com/410417801/files/doc_financials/2025/AR/2026-Travelers-Annual-Report-Final.pdf</x:v>
      </x:c>
      <x:c r="I675" t="str">
        <x:v>https://www.sec.gov/Archives/edgar/data/86312/000008631226000065/0000086312-26-000065-index.htm</x:v>
      </x:c>
      <x:c r="J675" t="str">
        <x:v>94fc0b121687402eac9a025d2701d2fe93c0789143797961ad6faad1c6dcb5b6</x:v>
      </x:c>
    </x:row>
    <x:row r="676">
      <x:c r="A676" t="n">
        <x:v>2025</x:v>
      </x:c>
      <x:c r="B676" t="str">
        <x:v>total_recoverables</x:v>
      </x:c>
      <x:c r="C676" s="1" t="n">
        <x:v>7886</x:v>
      </x:c>
      <x:c r="D676" t="str">
        <x:v>disclosed</x:v>
      </x:c>
      <x:c r="E676" t="str">
        <x:v>trv_ar_2025</x:v>
      </x:c>
      <x:c r="F676" t="n">
        <x:v>159</x:v>
      </x:c>
      <x:c r="G676" t="str">
        <x:v>2026-02-12</x:v>
      </x:c>
      <x:c r="H676" t="str">
        <x:v>https://s26.q4cdn.com/410417801/files/doc_financials/2025/AR/2026-Travelers-Annual-Report-Final.pdf</x:v>
      </x:c>
      <x:c r="I676" t="str">
        <x:v>https://www.sec.gov/Archives/edgar/data/86312/000008631226000065/0000086312-26-000065-index.htm</x:v>
      </x:c>
      <x:c r="J676" t="str">
        <x:v>94fc0b121687402eac9a025d2701d2fe93c0789143797961ad6faad1c6dcb5b6</x:v>
      </x:c>
    </x:row>
    <x:row r="677">
      <x:c r="A677" t="n">
        <x:v>2025</x:v>
      </x:c>
      <x:c r="B677" t="str">
        <x:v>total_revenue</x:v>
      </x:c>
      <x:c r="C677" s="1" t="n">
        <x:v>48828</x:v>
      </x:c>
      <x:c r="D677" t="str">
        <x:v>disclosed</x:v>
      </x:c>
      <x:c r="E677" t="str">
        <x:v>trv_ar_2025</x:v>
      </x:c>
      <x:c r="F677" t="n">
        <x:v>157</x:v>
      </x:c>
      <x:c r="G677" t="str">
        <x:v>2026-02-12</x:v>
      </x:c>
      <x:c r="H677" t="str">
        <x:v>https://s26.q4cdn.com/410417801/files/doc_financials/2025/AR/2026-Travelers-Annual-Report-Final.pdf</x:v>
      </x:c>
      <x:c r="I677" t="str">
        <x:v>https://www.sec.gov/Archives/edgar/data/86312/000008631226000065/0000086312-26-000065-index.htm</x:v>
      </x:c>
      <x:c r="J677" t="str">
        <x:v>94fc0b121687402eac9a025d2701d2fe93c0789143797961ad6faad1c6dcb5b6</x:v>
      </x:c>
    </x:row>
    <x:row r="678">
      <x:c r="A678" t="n">
        <x:v>2025</x:v>
      </x:c>
      <x:c r="B678" t="str">
        <x:v>treasury_stock</x:v>
      </x:c>
      <x:c r="C678" s="1" t="n">
        <x:v>-45447</x:v>
      </x:c>
      <x:c r="D678" t="str">
        <x:v>disclosed</x:v>
      </x:c>
      <x:c r="E678" t="str">
        <x:v>trv_ar_2025</x:v>
      </x:c>
      <x:c r="F678" t="n">
        <x:v>159</x:v>
      </x:c>
      <x:c r="G678" t="str">
        <x:v>2026-02-12</x:v>
      </x:c>
      <x:c r="H678" t="str">
        <x:v>https://s26.q4cdn.com/410417801/files/doc_financials/2025/AR/2026-Travelers-Annual-Report-Final.pdf</x:v>
      </x:c>
      <x:c r="I678" t="str">
        <x:v>https://www.sec.gov/Archives/edgar/data/86312/000008631226000065/0000086312-26-000065-index.htm</x:v>
      </x:c>
      <x:c r="J678" t="str">
        <x:v>94fc0b121687402eac9a025d2701d2fe93c0789143797961ad6faad1c6dcb5b6</x:v>
      </x:c>
    </x:row>
    <x:row r="679">
      <x:c r="A679" t="n">
        <x:v>2025</x:v>
      </x:c>
      <x:c r="B679" t="str">
        <x:v>unpaid_recoverables</x:v>
      </x:c>
      <x:c r="C679" s="1" t="n">
        <x:v>7797</x:v>
      </x:c>
      <x:c r="D679" t="str">
        <x:v>disclosed</x:v>
      </x:c>
      <x:c r="E679" t="str">
        <x:v>trv_ar_2025</x:v>
      </x:c>
      <x:c r="F679" t="n">
        <x:v>195</x:v>
      </x:c>
      <x:c r="G679" t="str">
        <x:v>2026-02-12</x:v>
      </x:c>
      <x:c r="H679" t="str">
        <x:v>https://s26.q4cdn.com/410417801/files/doc_financials/2025/AR/2026-Travelers-Annual-Report-Final.pdf</x:v>
      </x:c>
      <x:c r="I679" t="str">
        <x:v>https://www.sec.gov/Archives/edgar/data/86312/000008631226000065/0000086312-26-000065-index.htm</x:v>
      </x:c>
      <x:c r="J679" t="str">
        <x:v>94fc0b121687402eac9a025d2701d2fe93c0789143797961ad6faad1c6dcb5b6</x:v>
      </x:c>
    </x:row>
  </x:sheetData>
  <x:pageMargins left="0.7" right="0.7" top="0.75" bottom="0.75" header="0.3" footer="0.3"/>
</x:worksheet>
</file>
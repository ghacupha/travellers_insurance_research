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Assumptions" sheetId="3" r:id="rId3"/>
    <sheet name="Scenarios" sheetId="4" r:id="rId4"/>
    <sheet name="Model" sheetId="5" r:id="rId5"/>
    <sheet name="Output" sheetId="6" r:id="rId6"/>
    <sheet name="Sources" sheetId="7" r:id="rId7"/>
  </sheets>
  <calcPr calcId="124519" fullCalcOnLoad="1"/>
</workbook>
</file>

<file path=xl/sharedStrings.xml><?xml version="1.0" encoding="utf-8"?>
<sst xmlns="http://schemas.openxmlformats.org/spreadsheetml/2006/main" count="4977" uniqueCount="335">
  <si>
    <t>Year</t>
  </si>
  <si>
    <t>Metric ID</t>
  </si>
  <si>
    <t>Value</t>
  </si>
  <si>
    <t>Status</t>
  </si>
  <si>
    <t>Source ID</t>
  </si>
  <si>
    <t>PDF page</t>
  </si>
  <si>
    <t>SEC filed</t>
  </si>
  <si>
    <t>Annual report PDF</t>
  </si>
  <si>
    <t>SEC filing</t>
  </si>
  <si>
    <t>PDF SHA-256</t>
  </si>
  <si>
    <t>accrued_investment_income</t>
  </si>
  <si>
    <t>disclosed</t>
  </si>
  <si>
    <t>trv_ar_2019</t>
  </si>
  <si>
    <t>2020-02-13</t>
  </si>
  <si>
    <t>https://s26.q4cdn.com/410417801/files/doc_financials/annual/2019/TRV_2019_Annual_Report.pdf</t>
  </si>
  <si>
    <t>https://www.sec.gov/Archives/edgar/data/86312/000008631220000011/0000086312-20-000011-index.htm</t>
  </si>
  <si>
    <t>e0093d65a08001302da004d0efc202507906360fc9a05c2e4f935979a1383533</t>
  </si>
  <si>
    <t>aoci</t>
  </si>
  <si>
    <t>balance_sheet_claim_reserves</t>
  </si>
  <si>
    <t>cash</t>
  </si>
  <si>
    <t>ceded_upr</t>
  </si>
  <si>
    <t>common_stock</t>
  </si>
  <si>
    <t>contractholder_payables</t>
  </si>
  <si>
    <t>contractholder_receivables</t>
  </si>
  <si>
    <t>dac</t>
  </si>
  <si>
    <t>debt</t>
  </si>
  <si>
    <t>deferred_tax_liability</t>
  </si>
  <si>
    <t>equity</t>
  </si>
  <si>
    <t>equity_investments</t>
  </si>
  <si>
    <t>fixed_maturity_cost</t>
  </si>
  <si>
    <t>fixed_maturity_fair</t>
  </si>
  <si>
    <t>goodwill</t>
  </si>
  <si>
    <t>gross_reserves</t>
  </si>
  <si>
    <t>gross_upr</t>
  </si>
  <si>
    <t>intangible_assets</t>
  </si>
  <si>
    <t>net_reserves</t>
  </si>
  <si>
    <t>net_upr</t>
  </si>
  <si>
    <t>derived</t>
  </si>
  <si>
    <t>other_assets</t>
  </si>
  <si>
    <t>other_investments</t>
  </si>
  <si>
    <t>other_liabilities</t>
  </si>
  <si>
    <t>premium_receivables</t>
  </si>
  <si>
    <t>real_estate_investments</t>
  </si>
  <si>
    <t>reinsurance_premium_payables</t>
  </si>
  <si>
    <t>retained_earnings</t>
  </si>
  <si>
    <t>short_term_investments</t>
  </si>
  <si>
    <t>total_assets</t>
  </si>
  <si>
    <t>total_investments</t>
  </si>
  <si>
    <t>total_liabilities</t>
  </si>
  <si>
    <t>total_recoverables</t>
  </si>
  <si>
    <t>treasury_stock</t>
  </si>
  <si>
    <t>unpaid_recoverables</t>
  </si>
  <si>
    <t>trv_ar_2021</t>
  </si>
  <si>
    <t>2022-02-17</t>
  </si>
  <si>
    <t>https://s26.q4cdn.com/410417801/files/doc_financials/2021/ar/Travelers-2021-Annual-Report.pdf</t>
  </si>
  <si>
    <t>https://www.sec.gov/Archives/edgar/data/86312/000008631222000013/0000086312-22-000013-index.htm</t>
  </si>
  <si>
    <t>3e42291a1ec9a7e2d27596f4d839cf36f538eeec1d16b3dbf718001c3471c92c</t>
  </si>
  <si>
    <t>adoption_change</t>
  </si>
  <si>
    <t>adoption_equity</t>
  </si>
  <si>
    <t>trv_ar_2022</t>
  </si>
  <si>
    <t>2023-02-16</t>
  </si>
  <si>
    <t>https://s26.q4cdn.com/410417801/files/doc_financials/2022/ar/B/Travelers-2022-Annual-Report-pdf.pdf</t>
  </si>
  <si>
    <t>https://www.sec.gov/Archives/edgar/data/86312/000008631223000011/0000086312-23-000011-index.htm</t>
  </si>
  <si>
    <t>294fc17bdf196969c710ce679ef9470ca87e3d059b50f898fe487e5c68dd107d</t>
  </si>
  <si>
    <t>assumed_earned</t>
  </si>
  <si>
    <t>assumed_written</t>
  </si>
  <si>
    <t>cash_change_before_reclassification</t>
  </si>
  <si>
    <t>cash_flow_closing</t>
  </si>
  <si>
    <t>cash_flow_net_income</t>
  </si>
  <si>
    <t>cash_flow_opening</t>
  </si>
  <si>
    <t>cash_fx</t>
  </si>
  <si>
    <t>cash_tax</t>
  </si>
  <si>
    <t>ceded_earned</t>
  </si>
  <si>
    <t>trv_ar_2020</t>
  </si>
  <si>
    <t>2021-02-11</t>
  </si>
  <si>
    <t>https://s26.q4cdn.com/410417801/files/doc_financials/2020/ar/Travelers-2020-Annual-Report.pdf</t>
  </si>
  <si>
    <t>https://www.sec.gov/Archives/edgar/data/86312/000008631221000011/0000086312-21-000011-index.htm</t>
  </si>
  <si>
    <t>b0f912a2cacdacdaf296ae6888a862202aac27a8ad30009896d0de4b42358a88</t>
  </si>
  <si>
    <t>ceded_written</t>
  </si>
  <si>
    <t>cff</t>
  </si>
  <si>
    <t>cfi</t>
  </si>
  <si>
    <t>cfo</t>
  </si>
  <si>
    <t>claims</t>
  </si>
  <si>
    <t>closing_aoci</t>
  </si>
  <si>
    <t>closing_equity</t>
  </si>
  <si>
    <t>closing_shares</t>
  </si>
  <si>
    <t>current_incurred</t>
  </si>
  <si>
    <t>dac_amortization</t>
  </si>
  <si>
    <t>dac_cash_additions</t>
  </si>
  <si>
    <t>debt_issuance</t>
  </si>
  <si>
    <t>debt_repayment</t>
  </si>
  <si>
    <t>direct_earned</t>
  </si>
  <si>
    <t>direct_written</t>
  </si>
  <si>
    <t>dividends_cash</t>
  </si>
  <si>
    <t>employee_option_cash</t>
  </si>
  <si>
    <t>employee_share_net_cash</t>
  </si>
  <si>
    <t>employee_shares_equity</t>
  </si>
  <si>
    <t>equity_buybacks_authorized</t>
  </si>
  <si>
    <t>equity_dividends</t>
  </si>
  <si>
    <t>equity_employee_treasury</t>
  </si>
  <si>
    <t>equity_security_purchases</t>
  </si>
  <si>
    <t>equity_security_sale_proceeds</t>
  </si>
  <si>
    <t>fee_income</t>
  </si>
  <si>
    <t>fixed_maturity_maturities</t>
  </si>
  <si>
    <t>fixed_maturity_purchases</t>
  </si>
  <si>
    <t>fixed_maturity_sale_proceeds</t>
  </si>
  <si>
    <t>general_admin</t>
  </si>
  <si>
    <t>gross_earned</t>
  </si>
  <si>
    <t>gwp</t>
  </si>
  <si>
    <t>interest_expense</t>
  </si>
  <si>
    <t>investment_income</t>
  </si>
  <si>
    <t>nep</t>
  </si>
  <si>
    <t>net_income</t>
  </si>
  <si>
    <t>nwp</t>
  </si>
  <si>
    <t>opening_equity</t>
  </si>
  <si>
    <t>other_investment_purchases</t>
  </si>
  <si>
    <t>other_investment_sale_proceeds</t>
  </si>
  <si>
    <t>other_revenue</t>
  </si>
  <si>
    <t>paid_current</t>
  </si>
  <si>
    <t>paid_prior</t>
  </si>
  <si>
    <t>pretax_income</t>
  </si>
  <si>
    <t>real_estate_purchases</t>
  </si>
  <si>
    <t>real_estate_sale_proceeds</t>
  </si>
  <si>
    <t>realized_gains</t>
  </si>
  <si>
    <t>reported_opening_net_after_adoption</t>
  </si>
  <si>
    <t>reported_total_incurred</t>
  </si>
  <si>
    <t>reported_total_paid</t>
  </si>
  <si>
    <t>reserve_fx_other</t>
  </si>
  <si>
    <t>reserve_prior_incurred</t>
  </si>
  <si>
    <t>reserve_total_incurred</t>
  </si>
  <si>
    <t>retained_earnings_other</t>
  </si>
  <si>
    <t>share_buybacks_cash</t>
  </si>
  <si>
    <t>short_term_net_sales</t>
  </si>
  <si>
    <t>stock_comp_and_other_equity</t>
  </si>
  <si>
    <t>tax_expense</t>
  </si>
  <si>
    <t>total_expenses</t>
  </si>
  <si>
    <t>total_oci</t>
  </si>
  <si>
    <t>total_revenue</t>
  </si>
  <si>
    <t>trv_ar_2023</t>
  </si>
  <si>
    <t>2024-02-15</t>
  </si>
  <si>
    <t>https://s26.q4cdn.com/410417801/files/doc_financials/2023/ar/Travelers-2023-Annual__Report.pdf</t>
  </si>
  <si>
    <t>https://www.sec.gov/Archives/edgar/data/86312/000008631224000012/0000086312-24-000012-index.htm</t>
  </si>
  <si>
    <t>53f73eab62a87649bddd9402c5e9b9fb7087192b4df27a788f7b1189250829e3</t>
  </si>
  <si>
    <t>deferred_tax_asset</t>
  </si>
  <si>
    <t>trv_ar_2025</t>
  </si>
  <si>
    <t>2026-02-12</t>
  </si>
  <si>
    <t>https://s26.q4cdn.com/410417801/files/doc_financials/2025/AR/2026-Travelers-Annual-Report-Final.pdf</t>
  </si>
  <si>
    <t>https://www.sec.gov/Archives/edgar/data/86312/000008631226000065/0000086312-26-000065-index.htm</t>
  </si>
  <si>
    <t>94fc0b121687402eac9a025d2701d2fe93c0789143797961ad6faad1c6dcb5b6</t>
  </si>
  <si>
    <t>trv_ar_2024</t>
  </si>
  <si>
    <t>2025-02-13</t>
  </si>
  <si>
    <t>https://s26.q4cdn.com/410417801/files/doc_financials/2024/ar/v2/Travelers-2024-Annual-Report.pdf</t>
  </si>
  <si>
    <t>https://www.sec.gov/Archives/edgar/data/86312/000008631225000012/0000086312-25-000012-index.htm</t>
  </si>
  <si>
    <t>7a58a170cab4531d8e58266b98dbf26cba66bbe16c9a692c771f415a4c49d65c</t>
  </si>
  <si>
    <t>assets_held_for_sale</t>
  </si>
  <si>
    <t>cash_held_for_sale_reclassification</t>
  </si>
  <si>
    <t>held_for_sale_recoverables</t>
  </si>
  <si>
    <t>held_for_sale_reserves</t>
  </si>
  <si>
    <t>held_for_sale_upr</t>
  </si>
  <si>
    <t>liabilities_held_for_sale</t>
  </si>
  <si>
    <t>other_insurance_reserves</t>
  </si>
  <si>
    <t>Travelers P&amp;C operating model</t>
  </si>
  <si>
    <t>USD millions except shares and ratios · FY2020–25 actual · FY2026–30 illustrative</t>
  </si>
  <si>
    <t>Opening</t>
  </si>
  <si>
    <t>Actual</t>
  </si>
  <si>
    <t>Forecast</t>
  </si>
  <si>
    <t>Premiums and earning</t>
  </si>
  <si>
    <t>Direct written premiums</t>
  </si>
  <si>
    <t>Assumed written premiums</t>
  </si>
  <si>
    <t>Gross written premiums</t>
  </si>
  <si>
    <t>Ceded written premiums</t>
  </si>
  <si>
    <t>Net written premiums</t>
  </si>
  <si>
    <t>Gross unearned premiums</t>
  </si>
  <si>
    <t>Ceded unearned premiums</t>
  </si>
  <si>
    <t>Net unearned premiums</t>
  </si>
  <si>
    <t>Gross UPR held for sale</t>
  </si>
  <si>
    <t>Gross earned premiums</t>
  </si>
  <si>
    <t>Ceded earned premiums</t>
  </si>
  <si>
    <t>Net earned premiums</t>
  </si>
  <si>
    <t>Gross premium earning difference</t>
  </si>
  <si>
    <t>Ceded premium earning difference</t>
  </si>
  <si>
    <t>Net premium earning difference</t>
  </si>
  <si>
    <t>Claims and P&amp;C reserves</t>
  </si>
  <si>
    <t>Current accident-year incurred</t>
  </si>
  <si>
    <t>Prior accident-year incurred adjustment</t>
  </si>
  <si>
    <t>Total reserve-table incurred</t>
  </si>
  <si>
    <t>Paid current-year claims</t>
  </si>
  <si>
    <t>Paid prior-year claims</t>
  </si>
  <si>
    <t>Total claims paid</t>
  </si>
  <si>
    <t>Reserve FX and other</t>
  </si>
  <si>
    <t>Accounting adoption adjustment</t>
  </si>
  <si>
    <t>Net P&amp;C claims reserves</t>
  </si>
  <si>
    <t>Recoverables on unpaid P&amp;C claims</t>
  </si>
  <si>
    <t>Gross P&amp;C claims reserves</t>
  </si>
  <si>
    <t>Reserve rollforward difference</t>
  </si>
  <si>
    <t>Reinsurance presentation</t>
  </si>
  <si>
    <t>Balance-sheet reinsurance recoverables</t>
  </si>
  <si>
    <t>Total less unpaid recoverables; scopes differ</t>
  </si>
  <si>
    <t>Recoverables held for sale</t>
  </si>
  <si>
    <t>Acquisition costs and GAAP expenses</t>
  </si>
  <si>
    <t>Deferred acquisition costs</t>
  </si>
  <si>
    <t>Cash-flow DAC additions</t>
  </si>
  <si>
    <t>DAC amortization</t>
  </si>
  <si>
    <t>DAC stock difference</t>
  </si>
  <si>
    <t>General and administrative expenses</t>
  </si>
  <si>
    <t>GAAP claims and LAE</t>
  </si>
  <si>
    <t>Illustrative forecast underwriting expenses</t>
  </si>
  <si>
    <t>Investment portfolio</t>
  </si>
  <si>
    <t>Fixed maturities at fair value</t>
  </si>
  <si>
    <t>Equity securities</t>
  </si>
  <si>
    <t>Real estate investments</t>
  </si>
  <si>
    <t>Short-term investments</t>
  </si>
  <si>
    <t>Other investments</t>
  </si>
  <si>
    <t>Total investments</t>
  </si>
  <si>
    <t>Investment cash purchases</t>
  </si>
  <si>
    <t>Investment maturity and sale proceeds</t>
  </si>
  <si>
    <t>Net sales of short-term securities</t>
  </si>
  <si>
    <t>Investment balance less cash proxy</t>
  </si>
  <si>
    <t>Net investment income</t>
  </si>
  <si>
    <t>Average invested assets</t>
  </si>
  <si>
    <t>Investment income / average investments</t>
  </si>
  <si>
    <t>Common equity</t>
  </si>
  <si>
    <t>Opening common equity</t>
  </si>
  <si>
    <t>Net income</t>
  </si>
  <si>
    <t>Other comprehensive income</t>
  </si>
  <si>
    <t>Employee share issuances</t>
  </si>
  <si>
    <t>Share compensation and other</t>
  </si>
  <si>
    <t>Other retained earnings</t>
  </si>
  <si>
    <t>Accounting adoption</t>
  </si>
  <si>
    <t>Declared dividends</t>
  </si>
  <si>
    <t>Authorized buybacks</t>
  </si>
  <si>
    <t>Employee treasury shares</t>
  </si>
  <si>
    <t>Closing common equity</t>
  </si>
  <si>
    <t>Equity rollforward difference</t>
  </si>
  <si>
    <t>Ending common shares, millions</t>
  </si>
  <si>
    <t>Debt and cash</t>
  </si>
  <si>
    <t>Debt outstanding</t>
  </si>
  <si>
    <t>Cash debt issuance</t>
  </si>
  <si>
    <t>Cash debt repayment</t>
  </si>
  <si>
    <t>Debt stock difference</t>
  </si>
  <si>
    <t>Cash from operations</t>
  </si>
  <si>
    <t>Cash from investing</t>
  </si>
  <si>
    <t>Cash from financing</t>
  </si>
  <si>
    <t>FX effect on cash</t>
  </si>
  <si>
    <t>Cash held for sale</t>
  </si>
  <si>
    <t>Balance-sheet cash</t>
  </si>
  <si>
    <t>Cash rollforward difference</t>
  </si>
  <si>
    <t>GAAP income statement integration</t>
  </si>
  <si>
    <t>Fee income</t>
  </si>
  <si>
    <t>Net realized investment gains / losses</t>
  </si>
  <si>
    <t>Other revenues</t>
  </si>
  <si>
    <t>Total revenues</t>
  </si>
  <si>
    <t>Interest expense</t>
  </si>
  <si>
    <t>Total claims and expenses</t>
  </si>
  <si>
    <t>Income before tax</t>
  </si>
  <si>
    <t>Income tax expense</t>
  </si>
  <si>
    <t>Revenue line difference</t>
  </si>
  <si>
    <t>Expense line difference</t>
  </si>
  <si>
    <t>Net income line difference</t>
  </si>
  <si>
    <t>Income versus cash-flow net income</t>
  </si>
  <si>
    <t>GAAP balance sheet integration</t>
  </si>
  <si>
    <t>Investment income accrued</t>
  </si>
  <si>
    <t>Premium receivables</t>
  </si>
  <si>
    <t>Deferred tax assets</t>
  </si>
  <si>
    <t>Contractholder receivables</t>
  </si>
  <si>
    <t>Goodwill</t>
  </si>
  <si>
    <t>Other intangible assets</t>
  </si>
  <si>
    <t>Other assets</t>
  </si>
  <si>
    <t>Assets held for sale</t>
  </si>
  <si>
    <t>Total assets</t>
  </si>
  <si>
    <t>Balance-sheet claims reserves</t>
  </si>
  <si>
    <t>Contractholder payables</t>
  </si>
  <si>
    <t>Reinsurance premium payables</t>
  </si>
  <si>
    <t>Deferred tax liabilities</t>
  </si>
  <si>
    <t>Other liabilities</t>
  </si>
  <si>
    <t>Liabilities held for sale</t>
  </si>
  <si>
    <t>Total liabilities</t>
  </si>
  <si>
    <t>Common stock</t>
  </si>
  <si>
    <t>Retained earnings</t>
  </si>
  <si>
    <t>Accumulated other comprehensive income</t>
  </si>
  <si>
    <t>Treasury stock at cost</t>
  </si>
  <si>
    <t>Asset line difference</t>
  </si>
  <si>
    <t>Liability line difference</t>
  </si>
  <si>
    <t>Equity component difference</t>
  </si>
  <si>
    <t>Assets less liabilities and equity</t>
  </si>
  <si>
    <t>Forecast scenario</t>
  </si>
  <si>
    <t>Selected case</t>
  </si>
  <si>
    <t>Base</t>
  </si>
  <si>
    <t>Base, upside and downside are illustrative analyst inputs. Changing D6 updates the same forecast schedules.</t>
  </si>
  <si>
    <t>Forecast holds the FY2025 operating perimeter constant; the January 2026 Canadian sale is not reflected.</t>
  </si>
  <si>
    <t>Illustrative P&amp;C forecast drivers</t>
  </si>
  <si>
    <t>Analyst scenarios; not Travelers guidance or a valuation forecast</t>
  </si>
  <si>
    <t>GWP growth</t>
  </si>
  <si>
    <t>Upside</t>
  </si>
  <si>
    <t>Downside</t>
  </si>
  <si>
    <t>Ceded written / GWP</t>
  </si>
  <si>
    <t>Closing gross UPR / GWP</t>
  </si>
  <si>
    <t>Current accident-year attritional loss / NEP</t>
  </si>
  <si>
    <t>Current accident-year catastrophe loss / NEP</t>
  </si>
  <si>
    <t>Prior-year incurred / opening net reserves</t>
  </si>
  <si>
    <t>Current accident-year paid / incurred</t>
  </si>
  <si>
    <t>Prior accident-year paid / opening net reserves</t>
  </si>
  <si>
    <t>Unpaid recoverables / gross reserves</t>
  </si>
  <si>
    <t>Illustrative underwriting expense / NEP</t>
  </si>
  <si>
    <t>Travelers operating history and illustrative outlook</t>
  </si>
  <si>
    <t>Actuals: 2020–2025 · forecast: 2026–2030 · USD millions</t>
  </si>
  <si>
    <t>P&amp;C reserve-table incurred</t>
  </si>
  <si>
    <t>Illustrative underwriting expense</t>
  </si>
  <si>
    <t>Illustrative combined ratio</t>
  </si>
  <si>
    <t>Closing cash</t>
  </si>
  <si>
    <t>Illustrative forecast excludes the January 2026 Canadian sale; investment income, equity, cash and valuation remain unmodeled.</t>
  </si>
  <si>
    <t>Master Check</t>
  </si>
  <si>
    <t>The Travelers Companies</t>
  </si>
  <si>
    <t>P&amp;C operating model</t>
  </si>
  <si>
    <t>Fiscal 2020–2025 actuals · 2019 opening · 2026–2030 illustrative forecast</t>
  </si>
  <si>
    <t>Information cutoff</t>
  </si>
  <si>
    <t>Integrated historical statements; forecast and valuation pending</t>
  </si>
  <si>
    <t>Input fingerprint</t>
  </si>
  <si>
    <t>ad4e7bf4e5f5</t>
  </si>
  <si>
    <t>Historical detail uses annual-report PDFs and filing dates; selected SEC rows have independent parity checks.</t>
  </si>
  <si>
    <t>2026 forecast is illustrative and excludes the January 2 Canadian disposal.</t>
  </si>
  <si>
    <t>Research output status</t>
  </si>
  <si>
    <t>Price target</t>
  </si>
  <si>
    <t>Pending integrated forecast and market input review</t>
  </si>
  <si>
    <t>Historical controls</t>
  </si>
  <si>
    <t>Premium, reserve, audited income, balance sheet, cash, equity and financing checks</t>
  </si>
  <si>
    <t>Open work</t>
  </si>
  <si>
    <t>Canada disposal perimeter; UPR/DAC/investment/debt bridges; forecast statements</t>
  </si>
  <si>
    <t>Forecast scope</t>
  </si>
  <si>
    <t>Illustrative constant FY2025 perimeter; excludes January 2, 2026 Canadian sale</t>
  </si>
  <si>
    <t>Scenario result</t>
  </si>
  <si>
    <t>2030 net earned premiums</t>
  </si>
  <si>
    <t>2030 net P&amp;C reserves</t>
  </si>
  <si>
    <t>2030 illustrative combined ratio</t>
  </si>
  <si>
    <t>Historical bridge status</t>
  </si>
</sst>
</file>

<file path=xl/styles.xml><?xml version="1.0" encoding="utf-8"?>
<styleSheet xmlns="http://schemas.openxmlformats.org/spreadsheetml/2006/main">
  <numFmts count="2">
    <numFmt numFmtId="164" formatCode="#,##0.0;(#,##0.0);–"/>
    <numFmt numFmtId="165" formatCode="0.0%;(0.0%);–"/>
  </numFmts>
  <fonts count="9">
    <font>
      <sz val="11"/>
      <color theme="1"/>
      <name val="Calibri"/>
      <family val="2"/>
      <scheme val="minor"/>
    </font>
    <font>
      <b/>
      <sz val="15"/>
      <color rgb="FF16324F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sz val="11"/>
      <color rgb="FF16324F"/>
      <name val="Arial"/>
      <family val="2"/>
    </font>
    <font>
      <sz val="11"/>
      <color rgb="FFB65A22"/>
      <name val="Arial"/>
      <family val="2"/>
    </font>
    <font>
      <b/>
      <sz val="11"/>
      <color rgb="FFB65A22"/>
      <name val="Calibri"/>
      <family val="2"/>
      <scheme val="minor"/>
    </font>
    <font>
      <sz val="11"/>
      <color rgb="FF24704A"/>
      <name val="Arial"/>
      <family val="2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  <fill>
      <patternFill patternType="solid">
        <fgColor rgb="FFE7F0F6"/>
        <bgColor indexed="64"/>
      </patternFill>
    </fill>
    <fill>
      <patternFill patternType="solid">
        <fgColor rgb="FFFFF0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164" fontId="3" fillId="0" borderId="0" xfId="0" applyNumberFormat="1" applyFont="1"/>
    <xf numFmtId="165" fontId="3" fillId="0" borderId="0" xfId="0" applyNumberFormat="1" applyFont="1"/>
    <xf numFmtId="0" fontId="4" fillId="3" borderId="0" xfId="0" applyFont="1" applyFill="1"/>
    <xf numFmtId="165" fontId="5" fillId="0" borderId="0" xfId="0" applyNumberFormat="1" applyFont="1"/>
    <xf numFmtId="0" fontId="6" fillId="4" borderId="0" xfId="0" applyFont="1" applyFill="1"/>
    <xf numFmtId="164" fontId="7" fillId="0" borderId="0" xfId="0" applyNumberFormat="1" applyFont="1"/>
    <xf numFmtId="0" fontId="8" fillId="0" borderId="0" xfId="1" applyAlignment="1" applyProtection="1"/>
  </cellXfs>
  <cellStyles count="2">
    <cellStyle name="Hyperlink" xfId="1" builtinId="8"/>
    <cellStyle name="Normal" xfId="0" builtinId="0"/>
  </cellStyles>
  <dxfs count="1">
    <dxf>
      <font>
        <b/>
        <color rgb="FFB42318"/>
      </font>
      <fill>
        <patternFill>
          <bgColor rgb="FFFDE8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s26.q4cdn.com/410417801/files/doc_financials/annual/2019/TRV_2019_Annual_Report.pdf" TargetMode="External"/><Relationship Id="rId2" Type="http://schemas.openxmlformats.org/officeDocument/2006/relationships/hyperlink" Target="https://www.sec.gov/Archives/edgar/data/86312/000008631220000011/0000086312-20-000011-index.htm" TargetMode="External"/><Relationship Id="rId3" Type="http://schemas.openxmlformats.org/officeDocument/2006/relationships/hyperlink" Target="https://s26.q4cdn.com/410417801/files/doc_financials/annual/2019/TRV_2019_Annual_Report.pdf" TargetMode="External"/><Relationship Id="rId4" Type="http://schemas.openxmlformats.org/officeDocument/2006/relationships/hyperlink" Target="https://www.sec.gov/Archives/edgar/data/86312/000008631220000011/0000086312-20-000011-index.htm" TargetMode="External"/><Relationship Id="rId5" Type="http://schemas.openxmlformats.org/officeDocument/2006/relationships/hyperlink" Target="https://s26.q4cdn.com/410417801/files/doc_financials/annual/2019/TRV_2019_Annual_Report.pdf" TargetMode="External"/><Relationship Id="rId6" Type="http://schemas.openxmlformats.org/officeDocument/2006/relationships/hyperlink" Target="https://www.sec.gov/Archives/edgar/data/86312/000008631220000011/0000086312-20-000011-index.htm" TargetMode="External"/><Relationship Id="rId7" Type="http://schemas.openxmlformats.org/officeDocument/2006/relationships/hyperlink" Target="https://s26.q4cdn.com/410417801/files/doc_financials/annual/2019/TRV_2019_Annual_Report.pdf" TargetMode="External"/><Relationship Id="rId8" Type="http://schemas.openxmlformats.org/officeDocument/2006/relationships/hyperlink" Target="https://www.sec.gov/Archives/edgar/data/86312/000008631220000011/0000086312-20-000011-index.htm" TargetMode="External"/><Relationship Id="rId9" Type="http://schemas.openxmlformats.org/officeDocument/2006/relationships/hyperlink" Target="https://s26.q4cdn.com/410417801/files/doc_financials/annual/2019/TRV_2019_Annual_Report.pdf" TargetMode="External"/><Relationship Id="rId10" Type="http://schemas.openxmlformats.org/officeDocument/2006/relationships/hyperlink" Target="https://www.sec.gov/Archives/edgar/data/86312/000008631220000011/0000086312-20-000011-index.htm" TargetMode="External"/><Relationship Id="rId11" Type="http://schemas.openxmlformats.org/officeDocument/2006/relationships/hyperlink" Target="https://s26.q4cdn.com/410417801/files/doc_financials/annual/2019/TRV_2019_Annual_Report.pdf" TargetMode="External"/><Relationship Id="rId12" Type="http://schemas.openxmlformats.org/officeDocument/2006/relationships/hyperlink" Target="https://www.sec.gov/Archives/edgar/data/86312/000008631220000011/0000086312-20-000011-index.htm" TargetMode="External"/><Relationship Id="rId13" Type="http://schemas.openxmlformats.org/officeDocument/2006/relationships/hyperlink" Target="https://s26.q4cdn.com/410417801/files/doc_financials/annual/2019/TRV_2019_Annual_Report.pdf" TargetMode="External"/><Relationship Id="rId14" Type="http://schemas.openxmlformats.org/officeDocument/2006/relationships/hyperlink" Target="https://www.sec.gov/Archives/edgar/data/86312/000008631220000011/0000086312-20-000011-index.htm" TargetMode="External"/><Relationship Id="rId15" Type="http://schemas.openxmlformats.org/officeDocument/2006/relationships/hyperlink" Target="https://s26.q4cdn.com/410417801/files/doc_financials/annual/2019/TRV_2019_Annual_Report.pdf" TargetMode="External"/><Relationship Id="rId16" Type="http://schemas.openxmlformats.org/officeDocument/2006/relationships/hyperlink" Target="https://www.sec.gov/Archives/edgar/data/86312/000008631220000011/0000086312-20-000011-index.htm" TargetMode="External"/><Relationship Id="rId17" Type="http://schemas.openxmlformats.org/officeDocument/2006/relationships/hyperlink" Target="https://s26.q4cdn.com/410417801/files/doc_financials/annual/2019/TRV_2019_Annual_Report.pdf" TargetMode="External"/><Relationship Id="rId18" Type="http://schemas.openxmlformats.org/officeDocument/2006/relationships/hyperlink" Target="https://www.sec.gov/Archives/edgar/data/86312/000008631220000011/0000086312-20-000011-index.htm" TargetMode="External"/><Relationship Id="rId19" Type="http://schemas.openxmlformats.org/officeDocument/2006/relationships/hyperlink" Target="https://s26.q4cdn.com/410417801/files/doc_financials/annual/2019/TRV_2019_Annual_Report.pdf" TargetMode="External"/><Relationship Id="rId20" Type="http://schemas.openxmlformats.org/officeDocument/2006/relationships/hyperlink" Target="https://www.sec.gov/Archives/edgar/data/86312/000008631220000011/0000086312-20-000011-index.htm" TargetMode="External"/><Relationship Id="rId21" Type="http://schemas.openxmlformats.org/officeDocument/2006/relationships/hyperlink" Target="https://s26.q4cdn.com/410417801/files/doc_financials/annual/2019/TRV_2019_Annual_Report.pdf" TargetMode="External"/><Relationship Id="rId22" Type="http://schemas.openxmlformats.org/officeDocument/2006/relationships/hyperlink" Target="https://www.sec.gov/Archives/edgar/data/86312/000008631220000011/0000086312-20-000011-index.htm" TargetMode="External"/><Relationship Id="rId23" Type="http://schemas.openxmlformats.org/officeDocument/2006/relationships/hyperlink" Target="https://s26.q4cdn.com/410417801/files/doc_financials/annual/2019/TRV_2019_Annual_Report.pdf" TargetMode="External"/><Relationship Id="rId24" Type="http://schemas.openxmlformats.org/officeDocument/2006/relationships/hyperlink" Target="https://www.sec.gov/Archives/edgar/data/86312/000008631220000011/0000086312-20-000011-index.htm" TargetMode="External"/><Relationship Id="rId25" Type="http://schemas.openxmlformats.org/officeDocument/2006/relationships/hyperlink" Target="https://s26.q4cdn.com/410417801/files/doc_financials/annual/2019/TRV_2019_Annual_Report.pdf" TargetMode="External"/><Relationship Id="rId26" Type="http://schemas.openxmlformats.org/officeDocument/2006/relationships/hyperlink" Target="https://www.sec.gov/Archives/edgar/data/86312/000008631220000011/0000086312-20-000011-index.htm" TargetMode="External"/><Relationship Id="rId27" Type="http://schemas.openxmlformats.org/officeDocument/2006/relationships/hyperlink" Target="https://s26.q4cdn.com/410417801/files/doc_financials/annual/2019/TRV_2019_Annual_Report.pdf" TargetMode="External"/><Relationship Id="rId28" Type="http://schemas.openxmlformats.org/officeDocument/2006/relationships/hyperlink" Target="https://www.sec.gov/Archives/edgar/data/86312/000008631220000011/0000086312-20-000011-index.htm" TargetMode="External"/><Relationship Id="rId29" Type="http://schemas.openxmlformats.org/officeDocument/2006/relationships/hyperlink" Target="https://s26.q4cdn.com/410417801/files/doc_financials/annual/2019/TRV_2019_Annual_Report.pdf" TargetMode="External"/><Relationship Id="rId30" Type="http://schemas.openxmlformats.org/officeDocument/2006/relationships/hyperlink" Target="https://www.sec.gov/Archives/edgar/data/86312/000008631220000011/0000086312-20-000011-index.htm" TargetMode="External"/><Relationship Id="rId31" Type="http://schemas.openxmlformats.org/officeDocument/2006/relationships/hyperlink" Target="https://s26.q4cdn.com/410417801/files/doc_financials/annual/2019/TRV_2019_Annual_Report.pdf" TargetMode="External"/><Relationship Id="rId32" Type="http://schemas.openxmlformats.org/officeDocument/2006/relationships/hyperlink" Target="https://www.sec.gov/Archives/edgar/data/86312/000008631220000011/0000086312-20-000011-index.htm" TargetMode="External"/><Relationship Id="rId33" Type="http://schemas.openxmlformats.org/officeDocument/2006/relationships/hyperlink" Target="https://s26.q4cdn.com/410417801/files/doc_financials/annual/2019/TRV_2019_Annual_Report.pdf" TargetMode="External"/><Relationship Id="rId34" Type="http://schemas.openxmlformats.org/officeDocument/2006/relationships/hyperlink" Target="https://www.sec.gov/Archives/edgar/data/86312/000008631220000011/0000086312-20-000011-index.htm" TargetMode="External"/><Relationship Id="rId35" Type="http://schemas.openxmlformats.org/officeDocument/2006/relationships/hyperlink" Target="https://s26.q4cdn.com/410417801/files/doc_financials/annual/2019/TRV_2019_Annual_Report.pdf" TargetMode="External"/><Relationship Id="rId36" Type="http://schemas.openxmlformats.org/officeDocument/2006/relationships/hyperlink" Target="https://www.sec.gov/Archives/edgar/data/86312/000008631220000011/0000086312-20-000011-index.htm" TargetMode="External"/><Relationship Id="rId37" Type="http://schemas.openxmlformats.org/officeDocument/2006/relationships/hyperlink" Target="https://s26.q4cdn.com/410417801/files/doc_financials/annual/2019/TRV_2019_Annual_Report.pdf" TargetMode="External"/><Relationship Id="rId38" Type="http://schemas.openxmlformats.org/officeDocument/2006/relationships/hyperlink" Target="https://www.sec.gov/Archives/edgar/data/86312/000008631220000011/0000086312-20-000011-index.htm" TargetMode="External"/><Relationship Id="rId39" Type="http://schemas.openxmlformats.org/officeDocument/2006/relationships/hyperlink" Target="https://s26.q4cdn.com/410417801/files/doc_financials/annual/2019/TRV_2019_Annual_Report.pdf" TargetMode="External"/><Relationship Id="rId40" Type="http://schemas.openxmlformats.org/officeDocument/2006/relationships/hyperlink" Target="https://www.sec.gov/Archives/edgar/data/86312/000008631220000011/0000086312-20-000011-index.htm" TargetMode="External"/><Relationship Id="rId41" Type="http://schemas.openxmlformats.org/officeDocument/2006/relationships/hyperlink" Target="https://s26.q4cdn.com/410417801/files/doc_financials/annual/2019/TRV_2019_Annual_Report.pdf" TargetMode="External"/><Relationship Id="rId42" Type="http://schemas.openxmlformats.org/officeDocument/2006/relationships/hyperlink" Target="https://www.sec.gov/Archives/edgar/data/86312/000008631220000011/0000086312-20-000011-index.htm" TargetMode="External"/><Relationship Id="rId43" Type="http://schemas.openxmlformats.org/officeDocument/2006/relationships/hyperlink" Target="https://s26.q4cdn.com/410417801/files/doc_financials/annual/2019/TRV_2019_Annual_Report.pdf" TargetMode="External"/><Relationship Id="rId44" Type="http://schemas.openxmlformats.org/officeDocument/2006/relationships/hyperlink" Target="https://www.sec.gov/Archives/edgar/data/86312/000008631220000011/0000086312-20-000011-index.htm" TargetMode="External"/><Relationship Id="rId45" Type="http://schemas.openxmlformats.org/officeDocument/2006/relationships/hyperlink" Target="https://s26.q4cdn.com/410417801/files/doc_financials/annual/2019/TRV_2019_Annual_Report.pdf" TargetMode="External"/><Relationship Id="rId46" Type="http://schemas.openxmlformats.org/officeDocument/2006/relationships/hyperlink" Target="https://www.sec.gov/Archives/edgar/data/86312/000008631220000011/0000086312-20-000011-index.htm" TargetMode="External"/><Relationship Id="rId47" Type="http://schemas.openxmlformats.org/officeDocument/2006/relationships/hyperlink" Target="https://s26.q4cdn.com/410417801/files/doc_financials/annual/2019/TRV_2019_Annual_Report.pdf" TargetMode="External"/><Relationship Id="rId48" Type="http://schemas.openxmlformats.org/officeDocument/2006/relationships/hyperlink" Target="https://www.sec.gov/Archives/edgar/data/86312/000008631220000011/0000086312-20-000011-index.htm" TargetMode="External"/><Relationship Id="rId49" Type="http://schemas.openxmlformats.org/officeDocument/2006/relationships/hyperlink" Target="https://s26.q4cdn.com/410417801/files/doc_financials/annual/2019/TRV_2019_Annual_Report.pdf" TargetMode="External"/><Relationship Id="rId50" Type="http://schemas.openxmlformats.org/officeDocument/2006/relationships/hyperlink" Target="https://www.sec.gov/Archives/edgar/data/86312/000008631220000011/0000086312-20-000011-index.htm" TargetMode="External"/><Relationship Id="rId51" Type="http://schemas.openxmlformats.org/officeDocument/2006/relationships/hyperlink" Target="https://s26.q4cdn.com/410417801/files/doc_financials/annual/2019/TRV_2019_Annual_Report.pdf" TargetMode="External"/><Relationship Id="rId52" Type="http://schemas.openxmlformats.org/officeDocument/2006/relationships/hyperlink" Target="https://www.sec.gov/Archives/edgar/data/86312/000008631220000011/0000086312-20-000011-index.htm" TargetMode="External"/><Relationship Id="rId53" Type="http://schemas.openxmlformats.org/officeDocument/2006/relationships/hyperlink" Target="https://s26.q4cdn.com/410417801/files/doc_financials/annual/2019/TRV_2019_Annual_Report.pdf" TargetMode="External"/><Relationship Id="rId54" Type="http://schemas.openxmlformats.org/officeDocument/2006/relationships/hyperlink" Target="https://www.sec.gov/Archives/edgar/data/86312/000008631220000011/0000086312-20-000011-index.htm" TargetMode="External"/><Relationship Id="rId55" Type="http://schemas.openxmlformats.org/officeDocument/2006/relationships/hyperlink" Target="https://s26.q4cdn.com/410417801/files/doc_financials/annual/2019/TRV_2019_Annual_Report.pdf" TargetMode="External"/><Relationship Id="rId56" Type="http://schemas.openxmlformats.org/officeDocument/2006/relationships/hyperlink" Target="https://www.sec.gov/Archives/edgar/data/86312/000008631220000011/0000086312-20-000011-index.htm" TargetMode="External"/><Relationship Id="rId57" Type="http://schemas.openxmlformats.org/officeDocument/2006/relationships/hyperlink" Target="https://s26.q4cdn.com/410417801/files/doc_financials/annual/2019/TRV_2019_Annual_Report.pdf" TargetMode="External"/><Relationship Id="rId58" Type="http://schemas.openxmlformats.org/officeDocument/2006/relationships/hyperlink" Target="https://www.sec.gov/Archives/edgar/data/86312/000008631220000011/0000086312-20-000011-index.htm" TargetMode="External"/><Relationship Id="rId59" Type="http://schemas.openxmlformats.org/officeDocument/2006/relationships/hyperlink" Target="https://s26.q4cdn.com/410417801/files/doc_financials/annual/2019/TRV_2019_Annual_Report.pdf" TargetMode="External"/><Relationship Id="rId60" Type="http://schemas.openxmlformats.org/officeDocument/2006/relationships/hyperlink" Target="https://www.sec.gov/Archives/edgar/data/86312/000008631220000011/0000086312-20-000011-index.htm" TargetMode="External"/><Relationship Id="rId61" Type="http://schemas.openxmlformats.org/officeDocument/2006/relationships/hyperlink" Target="https://s26.q4cdn.com/410417801/files/doc_financials/annual/2019/TRV_2019_Annual_Report.pdf" TargetMode="External"/><Relationship Id="rId62" Type="http://schemas.openxmlformats.org/officeDocument/2006/relationships/hyperlink" Target="https://www.sec.gov/Archives/edgar/data/86312/000008631220000011/0000086312-20-000011-index.htm" TargetMode="External"/><Relationship Id="rId63" Type="http://schemas.openxmlformats.org/officeDocument/2006/relationships/hyperlink" Target="https://s26.q4cdn.com/410417801/files/doc_financials/annual/2019/TRV_2019_Annual_Report.pdf" TargetMode="External"/><Relationship Id="rId64" Type="http://schemas.openxmlformats.org/officeDocument/2006/relationships/hyperlink" Target="https://www.sec.gov/Archives/edgar/data/86312/000008631220000011/0000086312-20-000011-index.htm" TargetMode="External"/><Relationship Id="rId65" Type="http://schemas.openxmlformats.org/officeDocument/2006/relationships/hyperlink" Target="https://s26.q4cdn.com/410417801/files/doc_financials/annual/2019/TRV_2019_Annual_Report.pdf" TargetMode="External"/><Relationship Id="rId66" Type="http://schemas.openxmlformats.org/officeDocument/2006/relationships/hyperlink" Target="https://www.sec.gov/Archives/edgar/data/86312/000008631220000011/0000086312-20-000011-index.htm" TargetMode="External"/><Relationship Id="rId67" Type="http://schemas.openxmlformats.org/officeDocument/2006/relationships/hyperlink" Target="https://s26.q4cdn.com/410417801/files/doc_financials/annual/2019/TRV_2019_Annual_Report.pdf" TargetMode="External"/><Relationship Id="rId68" Type="http://schemas.openxmlformats.org/officeDocument/2006/relationships/hyperlink" Target="https://www.sec.gov/Archives/edgar/data/86312/000008631220000011/0000086312-20-000011-index.htm" TargetMode="External"/><Relationship Id="rId69" Type="http://schemas.openxmlformats.org/officeDocument/2006/relationships/hyperlink" Target="https://s26.q4cdn.com/410417801/files/doc_financials/annual/2019/TRV_2019_Annual_Report.pdf" TargetMode="External"/><Relationship Id="rId70" Type="http://schemas.openxmlformats.org/officeDocument/2006/relationships/hyperlink" Target="https://www.sec.gov/Archives/edgar/data/86312/000008631220000011/0000086312-20-000011-index.htm" TargetMode="External"/><Relationship Id="rId71" Type="http://schemas.openxmlformats.org/officeDocument/2006/relationships/hyperlink" Target="https://s26.q4cdn.com/410417801/files/doc_financials/2021/ar/Travelers-2021-Annual-Report.pdf" TargetMode="External"/><Relationship Id="rId72" Type="http://schemas.openxmlformats.org/officeDocument/2006/relationships/hyperlink" Target="https://www.sec.gov/Archives/edgar/data/86312/000008631222000013/0000086312-22-000013-index.htm" TargetMode="External"/><Relationship Id="rId73" Type="http://schemas.openxmlformats.org/officeDocument/2006/relationships/hyperlink" Target="https://s26.q4cdn.com/410417801/files/doc_financials/2021/ar/Travelers-2021-Annual-Report.pdf" TargetMode="External"/><Relationship Id="rId74" Type="http://schemas.openxmlformats.org/officeDocument/2006/relationships/hyperlink" Target="https://www.sec.gov/Archives/edgar/data/86312/000008631222000013/0000086312-22-000013-index.htm" TargetMode="External"/><Relationship Id="rId75" Type="http://schemas.openxmlformats.org/officeDocument/2006/relationships/hyperlink" Target="https://s26.q4cdn.com/410417801/files/doc_financials/2022/ar/B/Travelers-2022-Annual-Report-pdf.pdf" TargetMode="External"/><Relationship Id="rId76" Type="http://schemas.openxmlformats.org/officeDocument/2006/relationships/hyperlink" Target="https://www.sec.gov/Archives/edgar/data/86312/000008631223000011/0000086312-23-000011-index.htm" TargetMode="External"/><Relationship Id="rId77" Type="http://schemas.openxmlformats.org/officeDocument/2006/relationships/hyperlink" Target="https://s26.q4cdn.com/410417801/files/doc_financials/2021/ar/Travelers-2021-Annual-Report.pdf" TargetMode="External"/><Relationship Id="rId78" Type="http://schemas.openxmlformats.org/officeDocument/2006/relationships/hyperlink" Target="https://www.sec.gov/Archives/edgar/data/86312/000008631222000013/0000086312-22-000013-index.htm" TargetMode="External"/><Relationship Id="rId79" Type="http://schemas.openxmlformats.org/officeDocument/2006/relationships/hyperlink" Target="https://s26.q4cdn.com/410417801/files/doc_financials/2022/ar/B/Travelers-2022-Annual-Report-pdf.pdf" TargetMode="External"/><Relationship Id="rId80" Type="http://schemas.openxmlformats.org/officeDocument/2006/relationships/hyperlink" Target="https://www.sec.gov/Archives/edgar/data/86312/000008631223000011/0000086312-23-000011-index.htm" TargetMode="External"/><Relationship Id="rId81" Type="http://schemas.openxmlformats.org/officeDocument/2006/relationships/hyperlink" Target="https://s26.q4cdn.com/410417801/files/doc_financials/2022/ar/B/Travelers-2022-Annual-Report-pdf.pdf" TargetMode="External"/><Relationship Id="rId82" Type="http://schemas.openxmlformats.org/officeDocument/2006/relationships/hyperlink" Target="https://www.sec.gov/Archives/edgar/data/86312/000008631223000011/0000086312-23-000011-index.htm" TargetMode="External"/><Relationship Id="rId83" Type="http://schemas.openxmlformats.org/officeDocument/2006/relationships/hyperlink" Target="https://s26.q4cdn.com/410417801/files/doc_financials/2021/ar/Travelers-2021-Annual-Report.pdf" TargetMode="External"/><Relationship Id="rId84" Type="http://schemas.openxmlformats.org/officeDocument/2006/relationships/hyperlink" Target="https://www.sec.gov/Archives/edgar/data/86312/000008631222000013/0000086312-22-000013-index.htm" TargetMode="External"/><Relationship Id="rId85" Type="http://schemas.openxmlformats.org/officeDocument/2006/relationships/hyperlink" Target="https://s26.q4cdn.com/410417801/files/doc_financials/2021/ar/Travelers-2021-Annual-Report.pdf" TargetMode="External"/><Relationship Id="rId86" Type="http://schemas.openxmlformats.org/officeDocument/2006/relationships/hyperlink" Target="https://www.sec.gov/Archives/edgar/data/86312/000008631222000013/0000086312-22-000013-index.htm" TargetMode="External"/><Relationship Id="rId87" Type="http://schemas.openxmlformats.org/officeDocument/2006/relationships/hyperlink" Target="https://s26.q4cdn.com/410417801/files/doc_financials/2022/ar/B/Travelers-2022-Annual-Report-pdf.pdf" TargetMode="External"/><Relationship Id="rId88" Type="http://schemas.openxmlformats.org/officeDocument/2006/relationships/hyperlink" Target="https://www.sec.gov/Archives/edgar/data/86312/000008631223000011/0000086312-23-000011-index.htm" TargetMode="External"/><Relationship Id="rId89" Type="http://schemas.openxmlformats.org/officeDocument/2006/relationships/hyperlink" Target="https://s26.q4cdn.com/410417801/files/doc_financials/2022/ar/B/Travelers-2022-Annual-Report-pdf.pdf" TargetMode="External"/><Relationship Id="rId90" Type="http://schemas.openxmlformats.org/officeDocument/2006/relationships/hyperlink" Target="https://www.sec.gov/Archives/edgar/data/86312/000008631223000011/0000086312-23-000011-index.htm" TargetMode="External"/><Relationship Id="rId91" Type="http://schemas.openxmlformats.org/officeDocument/2006/relationships/hyperlink" Target="https://s26.q4cdn.com/410417801/files/doc_financials/2022/ar/B/Travelers-2022-Annual-Report-pdf.pdf" TargetMode="External"/><Relationship Id="rId92" Type="http://schemas.openxmlformats.org/officeDocument/2006/relationships/hyperlink" Target="https://www.sec.gov/Archives/edgar/data/86312/000008631223000011/0000086312-23-000011-index.htm" TargetMode="External"/><Relationship Id="rId93" Type="http://schemas.openxmlformats.org/officeDocument/2006/relationships/hyperlink" Target="https://s26.q4cdn.com/410417801/files/doc_financials/2022/ar/B/Travelers-2022-Annual-Report-pdf.pdf" TargetMode="External"/><Relationship Id="rId94" Type="http://schemas.openxmlformats.org/officeDocument/2006/relationships/hyperlink" Target="https://www.sec.gov/Archives/edgar/data/86312/000008631223000011/0000086312-23-000011-index.htm" TargetMode="External"/><Relationship Id="rId95" Type="http://schemas.openxmlformats.org/officeDocument/2006/relationships/hyperlink" Target="https://s26.q4cdn.com/410417801/files/doc_financials/2022/ar/B/Travelers-2022-Annual-Report-pdf.pdf" TargetMode="External"/><Relationship Id="rId96" Type="http://schemas.openxmlformats.org/officeDocument/2006/relationships/hyperlink" Target="https://www.sec.gov/Archives/edgar/data/86312/000008631223000011/0000086312-23-000011-index.htm" TargetMode="External"/><Relationship Id="rId97" Type="http://schemas.openxmlformats.org/officeDocument/2006/relationships/hyperlink" Target="https://s26.q4cdn.com/410417801/files/doc_financials/2022/ar/B/Travelers-2022-Annual-Report-pdf.pdf" TargetMode="External"/><Relationship Id="rId98" Type="http://schemas.openxmlformats.org/officeDocument/2006/relationships/hyperlink" Target="https://www.sec.gov/Archives/edgar/data/86312/000008631223000011/0000086312-23-000011-index.htm" TargetMode="External"/><Relationship Id="rId99" Type="http://schemas.openxmlformats.org/officeDocument/2006/relationships/hyperlink" Target="https://s26.q4cdn.com/410417801/files/doc_financials/2022/ar/B/Travelers-2022-Annual-Report-pdf.pdf" TargetMode="External"/><Relationship Id="rId100" Type="http://schemas.openxmlformats.org/officeDocument/2006/relationships/hyperlink" Target="https://www.sec.gov/Archives/edgar/data/86312/000008631223000011/0000086312-23-000011-index.htm" TargetMode="External"/><Relationship Id="rId101" Type="http://schemas.openxmlformats.org/officeDocument/2006/relationships/hyperlink" Target="https://s26.q4cdn.com/410417801/files/doc_financials/2020/ar/Travelers-2020-Annual-Report.pdf" TargetMode="External"/><Relationship Id="rId102" Type="http://schemas.openxmlformats.org/officeDocument/2006/relationships/hyperlink" Target="https://www.sec.gov/Archives/edgar/data/86312/000008631221000011/0000086312-21-000011-index.htm" TargetMode="External"/><Relationship Id="rId103" Type="http://schemas.openxmlformats.org/officeDocument/2006/relationships/hyperlink" Target="https://s26.q4cdn.com/410417801/files/doc_financials/2022/ar/B/Travelers-2022-Annual-Report-pdf.pdf" TargetMode="External"/><Relationship Id="rId104" Type="http://schemas.openxmlformats.org/officeDocument/2006/relationships/hyperlink" Target="https://www.sec.gov/Archives/edgar/data/86312/000008631223000011/0000086312-23-000011-index.htm" TargetMode="External"/><Relationship Id="rId105" Type="http://schemas.openxmlformats.org/officeDocument/2006/relationships/hyperlink" Target="https://s26.q4cdn.com/410417801/files/doc_financials/2022/ar/B/Travelers-2022-Annual-Report-pdf.pdf" TargetMode="External"/><Relationship Id="rId106" Type="http://schemas.openxmlformats.org/officeDocument/2006/relationships/hyperlink" Target="https://www.sec.gov/Archives/edgar/data/86312/000008631223000011/0000086312-23-000011-index.htm" TargetMode="External"/><Relationship Id="rId107" Type="http://schemas.openxmlformats.org/officeDocument/2006/relationships/hyperlink" Target="https://s26.q4cdn.com/410417801/files/doc_financials/2022/ar/B/Travelers-2022-Annual-Report-pdf.pdf" TargetMode="External"/><Relationship Id="rId108" Type="http://schemas.openxmlformats.org/officeDocument/2006/relationships/hyperlink" Target="https://www.sec.gov/Archives/edgar/data/86312/000008631223000011/0000086312-23-000011-index.htm" TargetMode="External"/><Relationship Id="rId109" Type="http://schemas.openxmlformats.org/officeDocument/2006/relationships/hyperlink" Target="https://s26.q4cdn.com/410417801/files/doc_financials/2022/ar/B/Travelers-2022-Annual-Report-pdf.pdf" TargetMode="External"/><Relationship Id="rId110" Type="http://schemas.openxmlformats.org/officeDocument/2006/relationships/hyperlink" Target="https://www.sec.gov/Archives/edgar/data/86312/000008631223000011/0000086312-23-000011-index.htm" TargetMode="External"/><Relationship Id="rId111" Type="http://schemas.openxmlformats.org/officeDocument/2006/relationships/hyperlink" Target="https://s26.q4cdn.com/410417801/files/doc_financials/2022/ar/B/Travelers-2022-Annual-Report-pdf.pdf" TargetMode="External"/><Relationship Id="rId112" Type="http://schemas.openxmlformats.org/officeDocument/2006/relationships/hyperlink" Target="https://www.sec.gov/Archives/edgar/data/86312/000008631223000011/0000086312-23-000011-index.htm" TargetMode="External"/><Relationship Id="rId113" Type="http://schemas.openxmlformats.org/officeDocument/2006/relationships/hyperlink" Target="https://s26.q4cdn.com/410417801/files/doc_financials/2022/ar/B/Travelers-2022-Annual-Report-pdf.pdf" TargetMode="External"/><Relationship Id="rId114" Type="http://schemas.openxmlformats.org/officeDocument/2006/relationships/hyperlink" Target="https://www.sec.gov/Archives/edgar/data/86312/000008631223000011/0000086312-23-000011-index.htm" TargetMode="External"/><Relationship Id="rId115" Type="http://schemas.openxmlformats.org/officeDocument/2006/relationships/hyperlink" Target="https://s26.q4cdn.com/410417801/files/doc_financials/2022/ar/B/Travelers-2022-Annual-Report-pdf.pdf" TargetMode="External"/><Relationship Id="rId116" Type="http://schemas.openxmlformats.org/officeDocument/2006/relationships/hyperlink" Target="https://www.sec.gov/Archives/edgar/data/86312/000008631223000011/0000086312-23-000011-index.htm" TargetMode="External"/><Relationship Id="rId117" Type="http://schemas.openxmlformats.org/officeDocument/2006/relationships/hyperlink" Target="https://s26.q4cdn.com/410417801/files/doc_financials/2022/ar/B/Travelers-2022-Annual-Report-pdf.pdf" TargetMode="External"/><Relationship Id="rId118" Type="http://schemas.openxmlformats.org/officeDocument/2006/relationships/hyperlink" Target="https://www.sec.gov/Archives/edgar/data/86312/000008631223000011/0000086312-23-000011-index.htm" TargetMode="External"/><Relationship Id="rId119" Type="http://schemas.openxmlformats.org/officeDocument/2006/relationships/hyperlink" Target="https://s26.q4cdn.com/410417801/files/doc_financials/2021/ar/Travelers-2021-Annual-Report.pdf" TargetMode="External"/><Relationship Id="rId120" Type="http://schemas.openxmlformats.org/officeDocument/2006/relationships/hyperlink" Target="https://www.sec.gov/Archives/edgar/data/86312/000008631222000013/0000086312-22-000013-index.htm" TargetMode="External"/><Relationship Id="rId121" Type="http://schemas.openxmlformats.org/officeDocument/2006/relationships/hyperlink" Target="https://s26.q4cdn.com/410417801/files/doc_financials/2021/ar/Travelers-2021-Annual-Report.pdf" TargetMode="External"/><Relationship Id="rId122" Type="http://schemas.openxmlformats.org/officeDocument/2006/relationships/hyperlink" Target="https://www.sec.gov/Archives/edgar/data/86312/000008631222000013/0000086312-22-000013-index.htm" TargetMode="External"/><Relationship Id="rId123" Type="http://schemas.openxmlformats.org/officeDocument/2006/relationships/hyperlink" Target="https://s26.q4cdn.com/410417801/files/doc_financials/2021/ar/Travelers-2021-Annual-Report.pdf" TargetMode="External"/><Relationship Id="rId124" Type="http://schemas.openxmlformats.org/officeDocument/2006/relationships/hyperlink" Target="https://www.sec.gov/Archives/edgar/data/86312/000008631222000013/0000086312-22-000013-index.htm" TargetMode="External"/><Relationship Id="rId125" Type="http://schemas.openxmlformats.org/officeDocument/2006/relationships/hyperlink" Target="https://s26.q4cdn.com/410417801/files/doc_financials/2021/ar/Travelers-2021-Annual-Report.pdf" TargetMode="External"/><Relationship Id="rId126" Type="http://schemas.openxmlformats.org/officeDocument/2006/relationships/hyperlink" Target="https://www.sec.gov/Archives/edgar/data/86312/000008631222000013/0000086312-22-000013-index.htm" TargetMode="External"/><Relationship Id="rId127" Type="http://schemas.openxmlformats.org/officeDocument/2006/relationships/hyperlink" Target="https://s26.q4cdn.com/410417801/files/doc_financials/2021/ar/Travelers-2021-Annual-Report.pdf" TargetMode="External"/><Relationship Id="rId128" Type="http://schemas.openxmlformats.org/officeDocument/2006/relationships/hyperlink" Target="https://www.sec.gov/Archives/edgar/data/86312/000008631222000013/0000086312-22-000013-index.htm" TargetMode="External"/><Relationship Id="rId129" Type="http://schemas.openxmlformats.org/officeDocument/2006/relationships/hyperlink" Target="https://s26.q4cdn.com/410417801/files/doc_financials/2022/ar/B/Travelers-2022-Annual-Report-pdf.pdf" TargetMode="External"/><Relationship Id="rId130" Type="http://schemas.openxmlformats.org/officeDocument/2006/relationships/hyperlink" Target="https://www.sec.gov/Archives/edgar/data/86312/000008631223000011/0000086312-23-000011-index.htm" TargetMode="External"/><Relationship Id="rId131" Type="http://schemas.openxmlformats.org/officeDocument/2006/relationships/hyperlink" Target="https://s26.q4cdn.com/410417801/files/doc_financials/2022/ar/B/Travelers-2022-Annual-Report-pdf.pdf" TargetMode="External"/><Relationship Id="rId132" Type="http://schemas.openxmlformats.org/officeDocument/2006/relationships/hyperlink" Target="https://www.sec.gov/Archives/edgar/data/86312/000008631223000011/0000086312-23-000011-index.htm" TargetMode="External"/><Relationship Id="rId133" Type="http://schemas.openxmlformats.org/officeDocument/2006/relationships/hyperlink" Target="https://s26.q4cdn.com/410417801/files/doc_financials/2021/ar/Travelers-2021-Annual-Report.pdf" TargetMode="External"/><Relationship Id="rId134" Type="http://schemas.openxmlformats.org/officeDocument/2006/relationships/hyperlink" Target="https://www.sec.gov/Archives/edgar/data/86312/000008631222000013/0000086312-22-000013-index.htm" TargetMode="External"/><Relationship Id="rId135" Type="http://schemas.openxmlformats.org/officeDocument/2006/relationships/hyperlink" Target="https://s26.q4cdn.com/410417801/files/doc_financials/2022/ar/B/Travelers-2022-Annual-Report-pdf.pdf" TargetMode="External"/><Relationship Id="rId136" Type="http://schemas.openxmlformats.org/officeDocument/2006/relationships/hyperlink" Target="https://www.sec.gov/Archives/edgar/data/86312/000008631223000011/0000086312-23-000011-index.htm" TargetMode="External"/><Relationship Id="rId137" Type="http://schemas.openxmlformats.org/officeDocument/2006/relationships/hyperlink" Target="https://s26.q4cdn.com/410417801/files/doc_financials/2022/ar/B/Travelers-2022-Annual-Report-pdf.pdf" TargetMode="External"/><Relationship Id="rId138" Type="http://schemas.openxmlformats.org/officeDocument/2006/relationships/hyperlink" Target="https://www.sec.gov/Archives/edgar/data/86312/000008631223000011/0000086312-23-000011-index.htm" TargetMode="External"/><Relationship Id="rId139" Type="http://schemas.openxmlformats.org/officeDocument/2006/relationships/hyperlink" Target="https://s26.q4cdn.com/410417801/files/doc_financials/2021/ar/Travelers-2021-Annual-Report.pdf" TargetMode="External"/><Relationship Id="rId140" Type="http://schemas.openxmlformats.org/officeDocument/2006/relationships/hyperlink" Target="https://www.sec.gov/Archives/edgar/data/86312/000008631222000013/0000086312-22-000013-index.htm" TargetMode="External"/><Relationship Id="rId141" Type="http://schemas.openxmlformats.org/officeDocument/2006/relationships/hyperlink" Target="https://s26.q4cdn.com/410417801/files/doc_financials/2022/ar/B/Travelers-2022-Annual-Report-pdf.pdf" TargetMode="External"/><Relationship Id="rId142" Type="http://schemas.openxmlformats.org/officeDocument/2006/relationships/hyperlink" Target="https://www.sec.gov/Archives/edgar/data/86312/000008631223000011/0000086312-23-000011-index.htm" TargetMode="External"/><Relationship Id="rId143" Type="http://schemas.openxmlformats.org/officeDocument/2006/relationships/hyperlink" Target="https://s26.q4cdn.com/410417801/files/doc_financials/2022/ar/B/Travelers-2022-Annual-Report-pdf.pdf" TargetMode="External"/><Relationship Id="rId144" Type="http://schemas.openxmlformats.org/officeDocument/2006/relationships/hyperlink" Target="https://www.sec.gov/Archives/edgar/data/86312/000008631223000011/0000086312-23-000011-index.htm" TargetMode="External"/><Relationship Id="rId145" Type="http://schemas.openxmlformats.org/officeDocument/2006/relationships/hyperlink" Target="https://s26.q4cdn.com/410417801/files/doc_financials/2022/ar/B/Travelers-2022-Annual-Report-pdf.pdf" TargetMode="External"/><Relationship Id="rId146" Type="http://schemas.openxmlformats.org/officeDocument/2006/relationships/hyperlink" Target="https://www.sec.gov/Archives/edgar/data/86312/000008631223000011/0000086312-23-000011-index.htm" TargetMode="External"/><Relationship Id="rId147" Type="http://schemas.openxmlformats.org/officeDocument/2006/relationships/hyperlink" Target="https://s26.q4cdn.com/410417801/files/doc_financials/2022/ar/B/Travelers-2022-Annual-Report-pdf.pdf" TargetMode="External"/><Relationship Id="rId148" Type="http://schemas.openxmlformats.org/officeDocument/2006/relationships/hyperlink" Target="https://www.sec.gov/Archives/edgar/data/86312/000008631223000011/0000086312-23-000011-index.htm" TargetMode="External"/><Relationship Id="rId149" Type="http://schemas.openxmlformats.org/officeDocument/2006/relationships/hyperlink" Target="https://s26.q4cdn.com/410417801/files/doc_financials/2022/ar/B/Travelers-2022-Annual-Report-pdf.pdf" TargetMode="External"/><Relationship Id="rId150" Type="http://schemas.openxmlformats.org/officeDocument/2006/relationships/hyperlink" Target="https://www.sec.gov/Archives/edgar/data/86312/000008631223000011/0000086312-23-000011-index.htm" TargetMode="External"/><Relationship Id="rId151" Type="http://schemas.openxmlformats.org/officeDocument/2006/relationships/hyperlink" Target="https://s26.q4cdn.com/410417801/files/doc_financials/2022/ar/B/Travelers-2022-Annual-Report-pdf.pdf" TargetMode="External"/><Relationship Id="rId152" Type="http://schemas.openxmlformats.org/officeDocument/2006/relationships/hyperlink" Target="https://www.sec.gov/Archives/edgar/data/86312/000008631223000011/0000086312-23-000011-index.htm" TargetMode="External"/><Relationship Id="rId153" Type="http://schemas.openxmlformats.org/officeDocument/2006/relationships/hyperlink" Target="https://s26.q4cdn.com/410417801/files/doc_financials/2021/ar/Travelers-2021-Annual-Report.pdf" TargetMode="External"/><Relationship Id="rId154" Type="http://schemas.openxmlformats.org/officeDocument/2006/relationships/hyperlink" Target="https://www.sec.gov/Archives/edgar/data/86312/000008631222000013/0000086312-22-000013-index.htm" TargetMode="External"/><Relationship Id="rId155" Type="http://schemas.openxmlformats.org/officeDocument/2006/relationships/hyperlink" Target="https://s26.q4cdn.com/410417801/files/doc_financials/2022/ar/B/Travelers-2022-Annual-Report-pdf.pdf" TargetMode="External"/><Relationship Id="rId156" Type="http://schemas.openxmlformats.org/officeDocument/2006/relationships/hyperlink" Target="https://www.sec.gov/Archives/edgar/data/86312/000008631223000011/0000086312-23-000011-index.htm" TargetMode="External"/><Relationship Id="rId157" Type="http://schemas.openxmlformats.org/officeDocument/2006/relationships/hyperlink" Target="https://s26.q4cdn.com/410417801/files/doc_financials/2022/ar/B/Travelers-2022-Annual-Report-pdf.pdf" TargetMode="External"/><Relationship Id="rId158" Type="http://schemas.openxmlformats.org/officeDocument/2006/relationships/hyperlink" Target="https://www.sec.gov/Archives/edgar/data/86312/000008631223000011/0000086312-23-000011-index.htm" TargetMode="External"/><Relationship Id="rId159" Type="http://schemas.openxmlformats.org/officeDocument/2006/relationships/hyperlink" Target="https://s26.q4cdn.com/410417801/files/doc_financials/2022/ar/B/Travelers-2022-Annual-Report-pdf.pdf" TargetMode="External"/><Relationship Id="rId160" Type="http://schemas.openxmlformats.org/officeDocument/2006/relationships/hyperlink" Target="https://www.sec.gov/Archives/edgar/data/86312/000008631223000011/0000086312-23-000011-index.htm" TargetMode="External"/><Relationship Id="rId161" Type="http://schemas.openxmlformats.org/officeDocument/2006/relationships/hyperlink" Target="https://s26.q4cdn.com/410417801/files/doc_financials/2021/ar/Travelers-2021-Annual-Report.pdf" TargetMode="External"/><Relationship Id="rId162" Type="http://schemas.openxmlformats.org/officeDocument/2006/relationships/hyperlink" Target="https://www.sec.gov/Archives/edgar/data/86312/000008631222000013/0000086312-22-000013-index.htm" TargetMode="External"/><Relationship Id="rId163" Type="http://schemas.openxmlformats.org/officeDocument/2006/relationships/hyperlink" Target="https://s26.q4cdn.com/410417801/files/doc_financials/2022/ar/B/Travelers-2022-Annual-Report-pdf.pdf" TargetMode="External"/><Relationship Id="rId164" Type="http://schemas.openxmlformats.org/officeDocument/2006/relationships/hyperlink" Target="https://www.sec.gov/Archives/edgar/data/86312/000008631223000011/0000086312-23-000011-index.htm" TargetMode="External"/><Relationship Id="rId165" Type="http://schemas.openxmlformats.org/officeDocument/2006/relationships/hyperlink" Target="https://s26.q4cdn.com/410417801/files/doc_financials/2022/ar/B/Travelers-2022-Annual-Report-pdf.pdf" TargetMode="External"/><Relationship Id="rId166" Type="http://schemas.openxmlformats.org/officeDocument/2006/relationships/hyperlink" Target="https://www.sec.gov/Archives/edgar/data/86312/000008631223000011/0000086312-23-000011-index.htm" TargetMode="External"/><Relationship Id="rId167" Type="http://schemas.openxmlformats.org/officeDocument/2006/relationships/hyperlink" Target="https://s26.q4cdn.com/410417801/files/doc_financials/2022/ar/B/Travelers-2022-Annual-Report-pdf.pdf" TargetMode="External"/><Relationship Id="rId168" Type="http://schemas.openxmlformats.org/officeDocument/2006/relationships/hyperlink" Target="https://www.sec.gov/Archives/edgar/data/86312/000008631223000011/0000086312-23-000011-index.htm" TargetMode="External"/><Relationship Id="rId169" Type="http://schemas.openxmlformats.org/officeDocument/2006/relationships/hyperlink" Target="https://s26.q4cdn.com/410417801/files/doc_financials/2021/ar/Travelers-2021-Annual-Report.pdf" TargetMode="External"/><Relationship Id="rId170" Type="http://schemas.openxmlformats.org/officeDocument/2006/relationships/hyperlink" Target="https://www.sec.gov/Archives/edgar/data/86312/000008631222000013/0000086312-22-000013-index.htm" TargetMode="External"/><Relationship Id="rId171" Type="http://schemas.openxmlformats.org/officeDocument/2006/relationships/hyperlink" Target="https://s26.q4cdn.com/410417801/files/doc_financials/2021/ar/Travelers-2021-Annual-Report.pdf" TargetMode="External"/><Relationship Id="rId172" Type="http://schemas.openxmlformats.org/officeDocument/2006/relationships/hyperlink" Target="https://www.sec.gov/Archives/edgar/data/86312/000008631222000013/0000086312-22-000013-index.htm" TargetMode="External"/><Relationship Id="rId173" Type="http://schemas.openxmlformats.org/officeDocument/2006/relationships/hyperlink" Target="https://s26.q4cdn.com/410417801/files/doc_financials/2022/ar/B/Travelers-2022-Annual-Report-pdf.pdf" TargetMode="External"/><Relationship Id="rId174" Type="http://schemas.openxmlformats.org/officeDocument/2006/relationships/hyperlink" Target="https://www.sec.gov/Archives/edgar/data/86312/000008631223000011/0000086312-23-000011-index.htm" TargetMode="External"/><Relationship Id="rId175" Type="http://schemas.openxmlformats.org/officeDocument/2006/relationships/hyperlink" Target="https://s26.q4cdn.com/410417801/files/doc_financials/2022/ar/B/Travelers-2022-Annual-Report-pdf.pdf" TargetMode="External"/><Relationship Id="rId176" Type="http://schemas.openxmlformats.org/officeDocument/2006/relationships/hyperlink" Target="https://www.sec.gov/Archives/edgar/data/86312/000008631223000011/0000086312-23-000011-index.htm" TargetMode="External"/><Relationship Id="rId177" Type="http://schemas.openxmlformats.org/officeDocument/2006/relationships/hyperlink" Target="https://s26.q4cdn.com/410417801/files/doc_financials/2022/ar/B/Travelers-2022-Annual-Report-pdf.pdf" TargetMode="External"/><Relationship Id="rId178" Type="http://schemas.openxmlformats.org/officeDocument/2006/relationships/hyperlink" Target="https://www.sec.gov/Archives/edgar/data/86312/000008631223000011/0000086312-23-000011-index.htm" TargetMode="External"/><Relationship Id="rId179" Type="http://schemas.openxmlformats.org/officeDocument/2006/relationships/hyperlink" Target="https://s26.q4cdn.com/410417801/files/doc_financials/2022/ar/B/Travelers-2022-Annual-Report-pdf.pdf" TargetMode="External"/><Relationship Id="rId180" Type="http://schemas.openxmlformats.org/officeDocument/2006/relationships/hyperlink" Target="https://www.sec.gov/Archives/edgar/data/86312/000008631223000011/0000086312-23-000011-index.htm" TargetMode="External"/><Relationship Id="rId181" Type="http://schemas.openxmlformats.org/officeDocument/2006/relationships/hyperlink" Target="https://s26.q4cdn.com/410417801/files/doc_financials/2021/ar/Travelers-2021-Annual-Report.pdf" TargetMode="External"/><Relationship Id="rId182" Type="http://schemas.openxmlformats.org/officeDocument/2006/relationships/hyperlink" Target="https://www.sec.gov/Archives/edgar/data/86312/000008631222000013/0000086312-22-000013-index.htm" TargetMode="External"/><Relationship Id="rId183" Type="http://schemas.openxmlformats.org/officeDocument/2006/relationships/hyperlink" Target="https://s26.q4cdn.com/410417801/files/doc_financials/2022/ar/B/Travelers-2022-Annual-Report-pdf.pdf" TargetMode="External"/><Relationship Id="rId184" Type="http://schemas.openxmlformats.org/officeDocument/2006/relationships/hyperlink" Target="https://www.sec.gov/Archives/edgar/data/86312/000008631223000011/0000086312-23-000011-index.htm" TargetMode="External"/><Relationship Id="rId185" Type="http://schemas.openxmlformats.org/officeDocument/2006/relationships/hyperlink" Target="https://s26.q4cdn.com/410417801/files/doc_financials/2021/ar/Travelers-2021-Annual-Report.pdf" TargetMode="External"/><Relationship Id="rId186" Type="http://schemas.openxmlformats.org/officeDocument/2006/relationships/hyperlink" Target="https://www.sec.gov/Archives/edgar/data/86312/000008631222000013/0000086312-22-000013-index.htm" TargetMode="External"/><Relationship Id="rId187" Type="http://schemas.openxmlformats.org/officeDocument/2006/relationships/hyperlink" Target="https://s26.q4cdn.com/410417801/files/doc_financials/2020/ar/Travelers-2020-Annual-Report.pdf" TargetMode="External"/><Relationship Id="rId188" Type="http://schemas.openxmlformats.org/officeDocument/2006/relationships/hyperlink" Target="https://www.sec.gov/Archives/edgar/data/86312/000008631221000011/0000086312-21-000011-index.htm" TargetMode="External"/><Relationship Id="rId189" Type="http://schemas.openxmlformats.org/officeDocument/2006/relationships/hyperlink" Target="https://s26.q4cdn.com/410417801/files/doc_financials/2022/ar/B/Travelers-2022-Annual-Report-pdf.pdf" TargetMode="External"/><Relationship Id="rId190" Type="http://schemas.openxmlformats.org/officeDocument/2006/relationships/hyperlink" Target="https://www.sec.gov/Archives/edgar/data/86312/000008631223000011/0000086312-23-000011-index.htm" TargetMode="External"/><Relationship Id="rId191" Type="http://schemas.openxmlformats.org/officeDocument/2006/relationships/hyperlink" Target="https://s26.q4cdn.com/410417801/files/doc_financials/2021/ar/Travelers-2021-Annual-Report.pdf" TargetMode="External"/><Relationship Id="rId192" Type="http://schemas.openxmlformats.org/officeDocument/2006/relationships/hyperlink" Target="https://www.sec.gov/Archives/edgar/data/86312/000008631222000013/0000086312-22-000013-index.htm" TargetMode="External"/><Relationship Id="rId193" Type="http://schemas.openxmlformats.org/officeDocument/2006/relationships/hyperlink" Target="https://s26.q4cdn.com/410417801/files/doc_financials/2022/ar/B/Travelers-2022-Annual-Report-pdf.pdf" TargetMode="External"/><Relationship Id="rId194" Type="http://schemas.openxmlformats.org/officeDocument/2006/relationships/hyperlink" Target="https://www.sec.gov/Archives/edgar/data/86312/000008631223000011/0000086312-23-000011-index.htm" TargetMode="External"/><Relationship Id="rId195" Type="http://schemas.openxmlformats.org/officeDocument/2006/relationships/hyperlink" Target="https://s26.q4cdn.com/410417801/files/doc_financials/2022/ar/B/Travelers-2022-Annual-Report-pdf.pdf" TargetMode="External"/><Relationship Id="rId196" Type="http://schemas.openxmlformats.org/officeDocument/2006/relationships/hyperlink" Target="https://www.sec.gov/Archives/edgar/data/86312/000008631223000011/0000086312-23-000011-index.htm" TargetMode="External"/><Relationship Id="rId197" Type="http://schemas.openxmlformats.org/officeDocument/2006/relationships/hyperlink" Target="https://s26.q4cdn.com/410417801/files/doc_financials/2022/ar/B/Travelers-2022-Annual-Report-pdf.pdf" TargetMode="External"/><Relationship Id="rId198" Type="http://schemas.openxmlformats.org/officeDocument/2006/relationships/hyperlink" Target="https://www.sec.gov/Archives/edgar/data/86312/000008631223000011/0000086312-23-000011-index.htm" TargetMode="External"/><Relationship Id="rId199" Type="http://schemas.openxmlformats.org/officeDocument/2006/relationships/hyperlink" Target="https://s26.q4cdn.com/410417801/files/doc_financials/2022/ar/B/Travelers-2022-Annual-Report-pdf.pdf" TargetMode="External"/><Relationship Id="rId200" Type="http://schemas.openxmlformats.org/officeDocument/2006/relationships/hyperlink" Target="https://www.sec.gov/Archives/edgar/data/86312/000008631223000011/0000086312-23-000011-index.htm" TargetMode="External"/><Relationship Id="rId201" Type="http://schemas.openxmlformats.org/officeDocument/2006/relationships/hyperlink" Target="https://s26.q4cdn.com/410417801/files/doc_financials/2021/ar/Travelers-2021-Annual-Report.pdf" TargetMode="External"/><Relationship Id="rId202" Type="http://schemas.openxmlformats.org/officeDocument/2006/relationships/hyperlink" Target="https://www.sec.gov/Archives/edgar/data/86312/000008631222000013/0000086312-22-000013-index.htm" TargetMode="External"/><Relationship Id="rId203" Type="http://schemas.openxmlformats.org/officeDocument/2006/relationships/hyperlink" Target="https://s26.q4cdn.com/410417801/files/doc_financials/2020/ar/Travelers-2020-Annual-Report.pdf" TargetMode="External"/><Relationship Id="rId204" Type="http://schemas.openxmlformats.org/officeDocument/2006/relationships/hyperlink" Target="https://www.sec.gov/Archives/edgar/data/86312/000008631221000011/0000086312-21-000011-index.htm" TargetMode="External"/><Relationship Id="rId205" Type="http://schemas.openxmlformats.org/officeDocument/2006/relationships/hyperlink" Target="https://s26.q4cdn.com/410417801/files/doc_financials/2022/ar/B/Travelers-2022-Annual-Report-pdf.pdf" TargetMode="External"/><Relationship Id="rId206" Type="http://schemas.openxmlformats.org/officeDocument/2006/relationships/hyperlink" Target="https://www.sec.gov/Archives/edgar/data/86312/000008631223000011/0000086312-23-000011-index.htm" TargetMode="External"/><Relationship Id="rId207" Type="http://schemas.openxmlformats.org/officeDocument/2006/relationships/hyperlink" Target="https://s26.q4cdn.com/410417801/files/doc_financials/2022/ar/B/Travelers-2022-Annual-Report-pdf.pdf" TargetMode="External"/><Relationship Id="rId208" Type="http://schemas.openxmlformats.org/officeDocument/2006/relationships/hyperlink" Target="https://www.sec.gov/Archives/edgar/data/86312/000008631223000011/0000086312-23-000011-index.htm" TargetMode="External"/><Relationship Id="rId209" Type="http://schemas.openxmlformats.org/officeDocument/2006/relationships/hyperlink" Target="https://s26.q4cdn.com/410417801/files/doc_financials/2021/ar/Travelers-2021-Annual-Report.pdf" TargetMode="External"/><Relationship Id="rId210" Type="http://schemas.openxmlformats.org/officeDocument/2006/relationships/hyperlink" Target="https://www.sec.gov/Archives/edgar/data/86312/000008631222000013/0000086312-22-000013-index.htm" TargetMode="External"/><Relationship Id="rId211" Type="http://schemas.openxmlformats.org/officeDocument/2006/relationships/hyperlink" Target="https://s26.q4cdn.com/410417801/files/doc_financials/2022/ar/B/Travelers-2022-Annual-Report-pdf.pdf" TargetMode="External"/><Relationship Id="rId212" Type="http://schemas.openxmlformats.org/officeDocument/2006/relationships/hyperlink" Target="https://www.sec.gov/Archives/edgar/data/86312/000008631223000011/0000086312-23-000011-index.htm" TargetMode="External"/><Relationship Id="rId213" Type="http://schemas.openxmlformats.org/officeDocument/2006/relationships/hyperlink" Target="https://s26.q4cdn.com/410417801/files/doc_financials/2022/ar/B/Travelers-2022-Annual-Report-pdf.pdf" TargetMode="External"/><Relationship Id="rId214" Type="http://schemas.openxmlformats.org/officeDocument/2006/relationships/hyperlink" Target="https://www.sec.gov/Archives/edgar/data/86312/000008631223000011/0000086312-23-000011-index.htm" TargetMode="External"/><Relationship Id="rId215" Type="http://schemas.openxmlformats.org/officeDocument/2006/relationships/hyperlink" Target="https://s26.q4cdn.com/410417801/files/doc_financials/2021/ar/Travelers-2021-Annual-Report.pdf" TargetMode="External"/><Relationship Id="rId216" Type="http://schemas.openxmlformats.org/officeDocument/2006/relationships/hyperlink" Target="https://www.sec.gov/Archives/edgar/data/86312/000008631222000013/0000086312-22-000013-index.htm" TargetMode="External"/><Relationship Id="rId217" Type="http://schemas.openxmlformats.org/officeDocument/2006/relationships/hyperlink" Target="https://s26.q4cdn.com/410417801/files/doc_financials/2021/ar/Travelers-2021-Annual-Report.pdf" TargetMode="External"/><Relationship Id="rId218" Type="http://schemas.openxmlformats.org/officeDocument/2006/relationships/hyperlink" Target="https://www.sec.gov/Archives/edgar/data/86312/000008631222000013/0000086312-22-000013-index.htm" TargetMode="External"/><Relationship Id="rId219" Type="http://schemas.openxmlformats.org/officeDocument/2006/relationships/hyperlink" Target="https://s26.q4cdn.com/410417801/files/doc_financials/2022/ar/B/Travelers-2022-Annual-Report-pdf.pdf" TargetMode="External"/><Relationship Id="rId220" Type="http://schemas.openxmlformats.org/officeDocument/2006/relationships/hyperlink" Target="https://www.sec.gov/Archives/edgar/data/86312/000008631223000011/0000086312-23-000011-index.htm" TargetMode="External"/><Relationship Id="rId221" Type="http://schemas.openxmlformats.org/officeDocument/2006/relationships/hyperlink" Target="https://s26.q4cdn.com/410417801/files/doc_financials/2021/ar/Travelers-2021-Annual-Report.pdf" TargetMode="External"/><Relationship Id="rId222" Type="http://schemas.openxmlformats.org/officeDocument/2006/relationships/hyperlink" Target="https://www.sec.gov/Archives/edgar/data/86312/000008631222000013/0000086312-22-000013-index.htm" TargetMode="External"/><Relationship Id="rId223" Type="http://schemas.openxmlformats.org/officeDocument/2006/relationships/hyperlink" Target="https://s26.q4cdn.com/410417801/files/doc_financials/2021/ar/Travelers-2021-Annual-Report.pdf" TargetMode="External"/><Relationship Id="rId224" Type="http://schemas.openxmlformats.org/officeDocument/2006/relationships/hyperlink" Target="https://www.sec.gov/Archives/edgar/data/86312/000008631222000013/0000086312-22-000013-index.htm" TargetMode="External"/><Relationship Id="rId225" Type="http://schemas.openxmlformats.org/officeDocument/2006/relationships/hyperlink" Target="https://s26.q4cdn.com/410417801/files/doc_financials/2021/ar/Travelers-2021-Annual-Report.pdf" TargetMode="External"/><Relationship Id="rId226" Type="http://schemas.openxmlformats.org/officeDocument/2006/relationships/hyperlink" Target="https://www.sec.gov/Archives/edgar/data/86312/000008631222000013/0000086312-22-000013-index.htm" TargetMode="External"/><Relationship Id="rId227" Type="http://schemas.openxmlformats.org/officeDocument/2006/relationships/hyperlink" Target="https://s26.q4cdn.com/410417801/files/doc_financials/2022/ar/B/Travelers-2022-Annual-Report-pdf.pdf" TargetMode="External"/><Relationship Id="rId228" Type="http://schemas.openxmlformats.org/officeDocument/2006/relationships/hyperlink" Target="https://www.sec.gov/Archives/edgar/data/86312/000008631223000011/0000086312-23-000011-index.htm" TargetMode="External"/><Relationship Id="rId229" Type="http://schemas.openxmlformats.org/officeDocument/2006/relationships/hyperlink" Target="https://s26.q4cdn.com/410417801/files/doc_financials/2021/ar/Travelers-2021-Annual-Report.pdf" TargetMode="External"/><Relationship Id="rId230" Type="http://schemas.openxmlformats.org/officeDocument/2006/relationships/hyperlink" Target="https://www.sec.gov/Archives/edgar/data/86312/000008631222000013/0000086312-22-000013-index.htm" TargetMode="External"/><Relationship Id="rId231" Type="http://schemas.openxmlformats.org/officeDocument/2006/relationships/hyperlink" Target="https://s26.q4cdn.com/410417801/files/doc_financials/2022/ar/B/Travelers-2022-Annual-Report-pdf.pdf" TargetMode="External"/><Relationship Id="rId232" Type="http://schemas.openxmlformats.org/officeDocument/2006/relationships/hyperlink" Target="https://www.sec.gov/Archives/edgar/data/86312/000008631223000011/0000086312-23-000011-index.htm" TargetMode="External"/><Relationship Id="rId233" Type="http://schemas.openxmlformats.org/officeDocument/2006/relationships/hyperlink" Target="https://s26.q4cdn.com/410417801/files/doc_financials/2022/ar/B/Travelers-2022-Annual-Report-pdf.pdf" TargetMode="External"/><Relationship Id="rId234" Type="http://schemas.openxmlformats.org/officeDocument/2006/relationships/hyperlink" Target="https://www.sec.gov/Archives/edgar/data/86312/000008631223000011/0000086312-23-000011-index.htm" TargetMode="External"/><Relationship Id="rId235" Type="http://schemas.openxmlformats.org/officeDocument/2006/relationships/hyperlink" Target="https://s26.q4cdn.com/410417801/files/doc_financials/2022/ar/B/Travelers-2022-Annual-Report-pdf.pdf" TargetMode="External"/><Relationship Id="rId236" Type="http://schemas.openxmlformats.org/officeDocument/2006/relationships/hyperlink" Target="https://www.sec.gov/Archives/edgar/data/86312/000008631223000011/0000086312-23-000011-index.htm" TargetMode="External"/><Relationship Id="rId237" Type="http://schemas.openxmlformats.org/officeDocument/2006/relationships/hyperlink" Target="https://s26.q4cdn.com/410417801/files/doc_financials/2021/ar/Travelers-2021-Annual-Report.pdf" TargetMode="External"/><Relationship Id="rId238" Type="http://schemas.openxmlformats.org/officeDocument/2006/relationships/hyperlink" Target="https://www.sec.gov/Archives/edgar/data/86312/000008631222000013/0000086312-22-000013-index.htm" TargetMode="External"/><Relationship Id="rId239" Type="http://schemas.openxmlformats.org/officeDocument/2006/relationships/hyperlink" Target="https://s26.q4cdn.com/410417801/files/doc_financials/2021/ar/Travelers-2021-Annual-Report.pdf" TargetMode="External"/><Relationship Id="rId240" Type="http://schemas.openxmlformats.org/officeDocument/2006/relationships/hyperlink" Target="https://www.sec.gov/Archives/edgar/data/86312/000008631222000013/0000086312-22-000013-index.htm" TargetMode="External"/><Relationship Id="rId241" Type="http://schemas.openxmlformats.org/officeDocument/2006/relationships/hyperlink" Target="https://s26.q4cdn.com/410417801/files/doc_financials/2021/ar/Travelers-2021-Annual-Report.pdf" TargetMode="External"/><Relationship Id="rId242" Type="http://schemas.openxmlformats.org/officeDocument/2006/relationships/hyperlink" Target="https://www.sec.gov/Archives/edgar/data/86312/000008631222000013/0000086312-22-000013-index.htm" TargetMode="External"/><Relationship Id="rId243" Type="http://schemas.openxmlformats.org/officeDocument/2006/relationships/hyperlink" Target="https://s26.q4cdn.com/410417801/files/doc_financials/2021/ar/Travelers-2021-Annual-Report.pdf" TargetMode="External"/><Relationship Id="rId244" Type="http://schemas.openxmlformats.org/officeDocument/2006/relationships/hyperlink" Target="https://www.sec.gov/Archives/edgar/data/86312/000008631222000013/0000086312-22-000013-index.htm" TargetMode="External"/><Relationship Id="rId245" Type="http://schemas.openxmlformats.org/officeDocument/2006/relationships/hyperlink" Target="https://s26.q4cdn.com/410417801/files/doc_financials/2021/ar/Travelers-2021-Annual-Report.pdf" TargetMode="External"/><Relationship Id="rId246" Type="http://schemas.openxmlformats.org/officeDocument/2006/relationships/hyperlink" Target="https://www.sec.gov/Archives/edgar/data/86312/000008631222000013/0000086312-22-000013-index.htm" TargetMode="External"/><Relationship Id="rId247" Type="http://schemas.openxmlformats.org/officeDocument/2006/relationships/hyperlink" Target="https://s26.q4cdn.com/410417801/files/doc_financials/2021/ar/Travelers-2021-Annual-Report.pdf" TargetMode="External"/><Relationship Id="rId248" Type="http://schemas.openxmlformats.org/officeDocument/2006/relationships/hyperlink" Target="https://www.sec.gov/Archives/edgar/data/86312/000008631222000013/0000086312-22-000013-index.htm" TargetMode="External"/><Relationship Id="rId249" Type="http://schemas.openxmlformats.org/officeDocument/2006/relationships/hyperlink" Target="https://s26.q4cdn.com/410417801/files/doc_financials/2021/ar/Travelers-2021-Annual-Report.pdf" TargetMode="External"/><Relationship Id="rId250" Type="http://schemas.openxmlformats.org/officeDocument/2006/relationships/hyperlink" Target="https://www.sec.gov/Archives/edgar/data/86312/000008631222000013/0000086312-22-000013-index.htm" TargetMode="External"/><Relationship Id="rId251" Type="http://schemas.openxmlformats.org/officeDocument/2006/relationships/hyperlink" Target="https://s26.q4cdn.com/410417801/files/doc_financials/2021/ar/Travelers-2021-Annual-Report.pdf" TargetMode="External"/><Relationship Id="rId252" Type="http://schemas.openxmlformats.org/officeDocument/2006/relationships/hyperlink" Target="https://www.sec.gov/Archives/edgar/data/86312/000008631222000013/0000086312-22-000013-index.htm" TargetMode="External"/><Relationship Id="rId253" Type="http://schemas.openxmlformats.org/officeDocument/2006/relationships/hyperlink" Target="https://s26.q4cdn.com/410417801/files/doc_financials/2022/ar/B/Travelers-2022-Annual-Report-pdf.pdf" TargetMode="External"/><Relationship Id="rId254" Type="http://schemas.openxmlformats.org/officeDocument/2006/relationships/hyperlink" Target="https://www.sec.gov/Archives/edgar/data/86312/000008631223000011/0000086312-23-000011-index.htm" TargetMode="External"/><Relationship Id="rId255" Type="http://schemas.openxmlformats.org/officeDocument/2006/relationships/hyperlink" Target="https://s26.q4cdn.com/410417801/files/doc_financials/2022/ar/B/Travelers-2022-Annual-Report-pdf.pdf" TargetMode="External"/><Relationship Id="rId256" Type="http://schemas.openxmlformats.org/officeDocument/2006/relationships/hyperlink" Target="https://www.sec.gov/Archives/edgar/data/86312/000008631223000011/0000086312-23-000011-index.htm" TargetMode="External"/><Relationship Id="rId257" Type="http://schemas.openxmlformats.org/officeDocument/2006/relationships/hyperlink" Target="https://s26.q4cdn.com/410417801/files/doc_financials/2021/ar/Travelers-2021-Annual-Report.pdf" TargetMode="External"/><Relationship Id="rId258" Type="http://schemas.openxmlformats.org/officeDocument/2006/relationships/hyperlink" Target="https://www.sec.gov/Archives/edgar/data/86312/000008631222000013/0000086312-22-000013-index.htm" TargetMode="External"/><Relationship Id="rId259" Type="http://schemas.openxmlformats.org/officeDocument/2006/relationships/hyperlink" Target="https://s26.q4cdn.com/410417801/files/doc_financials/2022/ar/B/Travelers-2022-Annual-Report-pdf.pdf" TargetMode="External"/><Relationship Id="rId260" Type="http://schemas.openxmlformats.org/officeDocument/2006/relationships/hyperlink" Target="https://www.sec.gov/Archives/edgar/data/86312/000008631223000011/0000086312-23-000011-index.htm" TargetMode="External"/><Relationship Id="rId261" Type="http://schemas.openxmlformats.org/officeDocument/2006/relationships/hyperlink" Target="https://s26.q4cdn.com/410417801/files/doc_financials/2022/ar/B/Travelers-2022-Annual-Report-pdf.pdf" TargetMode="External"/><Relationship Id="rId262" Type="http://schemas.openxmlformats.org/officeDocument/2006/relationships/hyperlink" Target="https://www.sec.gov/Archives/edgar/data/86312/000008631223000011/0000086312-23-000011-index.htm" TargetMode="External"/><Relationship Id="rId263" Type="http://schemas.openxmlformats.org/officeDocument/2006/relationships/hyperlink" Target="https://s26.q4cdn.com/410417801/files/doc_financials/2022/ar/B/Travelers-2022-Annual-Report-pdf.pdf" TargetMode="External"/><Relationship Id="rId264" Type="http://schemas.openxmlformats.org/officeDocument/2006/relationships/hyperlink" Target="https://www.sec.gov/Archives/edgar/data/86312/000008631223000011/0000086312-23-000011-index.htm" TargetMode="External"/><Relationship Id="rId265" Type="http://schemas.openxmlformats.org/officeDocument/2006/relationships/hyperlink" Target="https://s26.q4cdn.com/410417801/files/doc_financials/2021/ar/Travelers-2021-Annual-Report.pdf" TargetMode="External"/><Relationship Id="rId266" Type="http://schemas.openxmlformats.org/officeDocument/2006/relationships/hyperlink" Target="https://www.sec.gov/Archives/edgar/data/86312/000008631222000013/0000086312-22-000013-index.htm" TargetMode="External"/><Relationship Id="rId267" Type="http://schemas.openxmlformats.org/officeDocument/2006/relationships/hyperlink" Target="https://s26.q4cdn.com/410417801/files/doc_financials/2022/ar/B/Travelers-2022-Annual-Report-pdf.pdf" TargetMode="External"/><Relationship Id="rId268" Type="http://schemas.openxmlformats.org/officeDocument/2006/relationships/hyperlink" Target="https://www.sec.gov/Archives/edgar/data/86312/000008631223000011/0000086312-23-000011-index.htm" TargetMode="External"/><Relationship Id="rId269" Type="http://schemas.openxmlformats.org/officeDocument/2006/relationships/hyperlink" Target="https://s26.q4cdn.com/410417801/files/doc_financials/2021/ar/Travelers-2021-Annual-Report.pdf" TargetMode="External"/><Relationship Id="rId270" Type="http://schemas.openxmlformats.org/officeDocument/2006/relationships/hyperlink" Target="https://www.sec.gov/Archives/edgar/data/86312/000008631222000013/0000086312-22-000013-index.htm" TargetMode="External"/><Relationship Id="rId271" Type="http://schemas.openxmlformats.org/officeDocument/2006/relationships/hyperlink" Target="https://s26.q4cdn.com/410417801/files/doc_financials/2021/ar/Travelers-2021-Annual-Report.pdf" TargetMode="External"/><Relationship Id="rId272" Type="http://schemas.openxmlformats.org/officeDocument/2006/relationships/hyperlink" Target="https://www.sec.gov/Archives/edgar/data/86312/000008631222000013/0000086312-22-000013-index.htm" TargetMode="External"/><Relationship Id="rId273" Type="http://schemas.openxmlformats.org/officeDocument/2006/relationships/hyperlink" Target="https://s26.q4cdn.com/410417801/files/doc_financials/2022/ar/B/Travelers-2022-Annual-Report-pdf.pdf" TargetMode="External"/><Relationship Id="rId274" Type="http://schemas.openxmlformats.org/officeDocument/2006/relationships/hyperlink" Target="https://www.sec.gov/Archives/edgar/data/86312/000008631223000011/0000086312-23-000011-index.htm" TargetMode="External"/><Relationship Id="rId275" Type="http://schemas.openxmlformats.org/officeDocument/2006/relationships/hyperlink" Target="https://s26.q4cdn.com/410417801/files/doc_financials/2021/ar/Travelers-2021-Annual-Report.pdf" TargetMode="External"/><Relationship Id="rId276" Type="http://schemas.openxmlformats.org/officeDocument/2006/relationships/hyperlink" Target="https://www.sec.gov/Archives/edgar/data/86312/000008631222000013/0000086312-22-000013-index.htm" TargetMode="External"/><Relationship Id="rId277" Type="http://schemas.openxmlformats.org/officeDocument/2006/relationships/hyperlink" Target="https://s26.q4cdn.com/410417801/files/doc_financials/2022/ar/B/Travelers-2022-Annual-Report-pdf.pdf" TargetMode="External"/><Relationship Id="rId278" Type="http://schemas.openxmlformats.org/officeDocument/2006/relationships/hyperlink" Target="https://www.sec.gov/Archives/edgar/data/86312/000008631223000011/0000086312-23-000011-index.htm" TargetMode="External"/><Relationship Id="rId279" Type="http://schemas.openxmlformats.org/officeDocument/2006/relationships/hyperlink" Target="https://s26.q4cdn.com/410417801/files/doc_financials/2021/ar/Travelers-2021-Annual-Report.pdf" TargetMode="External"/><Relationship Id="rId280" Type="http://schemas.openxmlformats.org/officeDocument/2006/relationships/hyperlink" Target="https://www.sec.gov/Archives/edgar/data/86312/000008631222000013/0000086312-22-000013-index.htm" TargetMode="External"/><Relationship Id="rId281" Type="http://schemas.openxmlformats.org/officeDocument/2006/relationships/hyperlink" Target="https://s26.q4cdn.com/410417801/files/doc_financials/2021/ar/Travelers-2021-Annual-Report.pdf" TargetMode="External"/><Relationship Id="rId282" Type="http://schemas.openxmlformats.org/officeDocument/2006/relationships/hyperlink" Target="https://www.sec.gov/Archives/edgar/data/86312/000008631222000013/0000086312-22-000013-index.htm" TargetMode="External"/><Relationship Id="rId283" Type="http://schemas.openxmlformats.org/officeDocument/2006/relationships/hyperlink" Target="https://s26.q4cdn.com/410417801/files/doc_financials/2021/ar/Travelers-2021-Annual-Report.pdf" TargetMode="External"/><Relationship Id="rId284" Type="http://schemas.openxmlformats.org/officeDocument/2006/relationships/hyperlink" Target="https://www.sec.gov/Archives/edgar/data/86312/000008631222000013/0000086312-22-000013-index.htm" TargetMode="External"/><Relationship Id="rId285" Type="http://schemas.openxmlformats.org/officeDocument/2006/relationships/hyperlink" Target="https://s26.q4cdn.com/410417801/files/doc_financials/2021/ar/Travelers-2021-Annual-Report.pdf" TargetMode="External"/><Relationship Id="rId286" Type="http://schemas.openxmlformats.org/officeDocument/2006/relationships/hyperlink" Target="https://www.sec.gov/Archives/edgar/data/86312/000008631222000013/0000086312-22-000013-index.htm" TargetMode="External"/><Relationship Id="rId287" Type="http://schemas.openxmlformats.org/officeDocument/2006/relationships/hyperlink" Target="https://s26.q4cdn.com/410417801/files/doc_financials/2022/ar/B/Travelers-2022-Annual-Report-pdf.pdf" TargetMode="External"/><Relationship Id="rId288" Type="http://schemas.openxmlformats.org/officeDocument/2006/relationships/hyperlink" Target="https://www.sec.gov/Archives/edgar/data/86312/000008631223000011/0000086312-23-000011-index.htm" TargetMode="External"/><Relationship Id="rId289" Type="http://schemas.openxmlformats.org/officeDocument/2006/relationships/hyperlink" Target="https://s26.q4cdn.com/410417801/files/doc_financials/2021/ar/Travelers-2021-Annual-Report.pdf" TargetMode="External"/><Relationship Id="rId290" Type="http://schemas.openxmlformats.org/officeDocument/2006/relationships/hyperlink" Target="https://www.sec.gov/Archives/edgar/data/86312/000008631222000013/0000086312-22-000013-index.htm" TargetMode="External"/><Relationship Id="rId291" Type="http://schemas.openxmlformats.org/officeDocument/2006/relationships/hyperlink" Target="https://s26.q4cdn.com/410417801/files/doc_financials/2022/ar/B/Travelers-2022-Annual-Report-pdf.pdf" TargetMode="External"/><Relationship Id="rId292" Type="http://schemas.openxmlformats.org/officeDocument/2006/relationships/hyperlink" Target="https://www.sec.gov/Archives/edgar/data/86312/000008631223000011/0000086312-23-000011-index.htm" TargetMode="External"/><Relationship Id="rId293" Type="http://schemas.openxmlformats.org/officeDocument/2006/relationships/hyperlink" Target="https://s26.q4cdn.com/410417801/files/doc_financials/2022/ar/B/Travelers-2022-Annual-Report-pdf.pdf" TargetMode="External"/><Relationship Id="rId294" Type="http://schemas.openxmlformats.org/officeDocument/2006/relationships/hyperlink" Target="https://www.sec.gov/Archives/edgar/data/86312/000008631223000011/0000086312-23-000011-index.htm" TargetMode="External"/><Relationship Id="rId295" Type="http://schemas.openxmlformats.org/officeDocument/2006/relationships/hyperlink" Target="https://s26.q4cdn.com/410417801/files/doc_financials/2021/ar/Travelers-2021-Annual-Report.pdf" TargetMode="External"/><Relationship Id="rId296" Type="http://schemas.openxmlformats.org/officeDocument/2006/relationships/hyperlink" Target="https://www.sec.gov/Archives/edgar/data/86312/000008631222000013/0000086312-22-000013-index.htm" TargetMode="External"/><Relationship Id="rId297" Type="http://schemas.openxmlformats.org/officeDocument/2006/relationships/hyperlink" Target="https://s26.q4cdn.com/410417801/files/doc_financials/2021/ar/Travelers-2021-Annual-Report.pdf" TargetMode="External"/><Relationship Id="rId298" Type="http://schemas.openxmlformats.org/officeDocument/2006/relationships/hyperlink" Target="https://www.sec.gov/Archives/edgar/data/86312/000008631222000013/0000086312-22-000013-index.htm" TargetMode="External"/><Relationship Id="rId299" Type="http://schemas.openxmlformats.org/officeDocument/2006/relationships/hyperlink" Target="https://s26.q4cdn.com/410417801/files/doc_financials/2022/ar/B/Travelers-2022-Annual-Report-pdf.pdf" TargetMode="External"/><Relationship Id="rId300" Type="http://schemas.openxmlformats.org/officeDocument/2006/relationships/hyperlink" Target="https://www.sec.gov/Archives/edgar/data/86312/000008631223000011/0000086312-23-000011-index.htm" TargetMode="External"/><Relationship Id="rId301" Type="http://schemas.openxmlformats.org/officeDocument/2006/relationships/hyperlink" Target="https://s26.q4cdn.com/410417801/files/doc_financials/2022/ar/B/Travelers-2022-Annual-Report-pdf.pdf" TargetMode="External"/><Relationship Id="rId302" Type="http://schemas.openxmlformats.org/officeDocument/2006/relationships/hyperlink" Target="https://www.sec.gov/Archives/edgar/data/86312/000008631223000011/0000086312-23-000011-index.htm" TargetMode="External"/><Relationship Id="rId303" Type="http://schemas.openxmlformats.org/officeDocument/2006/relationships/hyperlink" Target="https://s26.q4cdn.com/410417801/files/doc_financials/2022/ar/B/Travelers-2022-Annual-Report-pdf.pdf" TargetMode="External"/><Relationship Id="rId304" Type="http://schemas.openxmlformats.org/officeDocument/2006/relationships/hyperlink" Target="https://www.sec.gov/Archives/edgar/data/86312/000008631223000011/0000086312-23-000011-index.htm" TargetMode="External"/><Relationship Id="rId305" Type="http://schemas.openxmlformats.org/officeDocument/2006/relationships/hyperlink" Target="https://s26.q4cdn.com/410417801/files/doc_financials/2022/ar/B/Travelers-2022-Annual-Report-pdf.pdf" TargetMode="External"/><Relationship Id="rId306" Type="http://schemas.openxmlformats.org/officeDocument/2006/relationships/hyperlink" Target="https://www.sec.gov/Archives/edgar/data/86312/000008631223000011/0000086312-23-000011-index.htm" TargetMode="External"/><Relationship Id="rId307" Type="http://schemas.openxmlformats.org/officeDocument/2006/relationships/hyperlink" Target="https://s26.q4cdn.com/410417801/files/doc_financials/2022/ar/B/Travelers-2022-Annual-Report-pdf.pdf" TargetMode="External"/><Relationship Id="rId308" Type="http://schemas.openxmlformats.org/officeDocument/2006/relationships/hyperlink" Target="https://www.sec.gov/Archives/edgar/data/86312/000008631223000011/0000086312-23-000011-index.htm" TargetMode="External"/><Relationship Id="rId309" Type="http://schemas.openxmlformats.org/officeDocument/2006/relationships/hyperlink" Target="https://s26.q4cdn.com/410417801/files/doc_financials/2022/ar/B/Travelers-2022-Annual-Report-pdf.pdf" TargetMode="External"/><Relationship Id="rId310" Type="http://schemas.openxmlformats.org/officeDocument/2006/relationships/hyperlink" Target="https://www.sec.gov/Archives/edgar/data/86312/000008631223000011/0000086312-23-000011-index.htm" TargetMode="External"/><Relationship Id="rId311" Type="http://schemas.openxmlformats.org/officeDocument/2006/relationships/hyperlink" Target="https://s26.q4cdn.com/410417801/files/doc_financials/2022/ar/B/Travelers-2022-Annual-Report-pdf.pdf" TargetMode="External"/><Relationship Id="rId312" Type="http://schemas.openxmlformats.org/officeDocument/2006/relationships/hyperlink" Target="https://www.sec.gov/Archives/edgar/data/86312/000008631223000011/0000086312-23-000011-index.htm" TargetMode="External"/><Relationship Id="rId313" Type="http://schemas.openxmlformats.org/officeDocument/2006/relationships/hyperlink" Target="https://s26.q4cdn.com/410417801/files/doc_financials/2021/ar/Travelers-2021-Annual-Report.pdf" TargetMode="External"/><Relationship Id="rId314" Type="http://schemas.openxmlformats.org/officeDocument/2006/relationships/hyperlink" Target="https://www.sec.gov/Archives/edgar/data/86312/000008631222000013/0000086312-22-000013-index.htm" TargetMode="External"/><Relationship Id="rId315" Type="http://schemas.openxmlformats.org/officeDocument/2006/relationships/hyperlink" Target="https://s26.q4cdn.com/410417801/files/doc_financials/2022/ar/B/Travelers-2022-Annual-Report-pdf.pdf" TargetMode="External"/><Relationship Id="rId316" Type="http://schemas.openxmlformats.org/officeDocument/2006/relationships/hyperlink" Target="https://www.sec.gov/Archives/edgar/data/86312/000008631223000011/0000086312-23-000011-index.htm" TargetMode="External"/><Relationship Id="rId317" Type="http://schemas.openxmlformats.org/officeDocument/2006/relationships/hyperlink" Target="https://s26.q4cdn.com/410417801/files/doc_financials/2022/ar/B/Travelers-2022-Annual-Report-pdf.pdf" TargetMode="External"/><Relationship Id="rId318" Type="http://schemas.openxmlformats.org/officeDocument/2006/relationships/hyperlink" Target="https://www.sec.gov/Archives/edgar/data/86312/000008631223000011/0000086312-23-000011-index.htm" TargetMode="External"/><Relationship Id="rId319" Type="http://schemas.openxmlformats.org/officeDocument/2006/relationships/hyperlink" Target="https://s26.q4cdn.com/410417801/files/doc_financials/2022/ar/B/Travelers-2022-Annual-Report-pdf.pdf" TargetMode="External"/><Relationship Id="rId320" Type="http://schemas.openxmlformats.org/officeDocument/2006/relationships/hyperlink" Target="https://www.sec.gov/Archives/edgar/data/86312/000008631223000011/0000086312-23-000011-index.htm" TargetMode="External"/><Relationship Id="rId321" Type="http://schemas.openxmlformats.org/officeDocument/2006/relationships/hyperlink" Target="https://s26.q4cdn.com/410417801/files/doc_financials/2022/ar/B/Travelers-2022-Annual-Report-pdf.pdf" TargetMode="External"/><Relationship Id="rId322" Type="http://schemas.openxmlformats.org/officeDocument/2006/relationships/hyperlink" Target="https://www.sec.gov/Archives/edgar/data/86312/000008631223000011/0000086312-23-000011-index.htm" TargetMode="External"/><Relationship Id="rId323" Type="http://schemas.openxmlformats.org/officeDocument/2006/relationships/hyperlink" Target="https://s26.q4cdn.com/410417801/files/doc_financials/2022/ar/B/Travelers-2022-Annual-Report-pdf.pdf" TargetMode="External"/><Relationship Id="rId324" Type="http://schemas.openxmlformats.org/officeDocument/2006/relationships/hyperlink" Target="https://www.sec.gov/Archives/edgar/data/86312/000008631223000011/0000086312-23-000011-index.htm" TargetMode="External"/><Relationship Id="rId325" Type="http://schemas.openxmlformats.org/officeDocument/2006/relationships/hyperlink" Target="https://s26.q4cdn.com/410417801/files/doc_financials/2022/ar/B/Travelers-2022-Annual-Report-pdf.pdf" TargetMode="External"/><Relationship Id="rId326" Type="http://schemas.openxmlformats.org/officeDocument/2006/relationships/hyperlink" Target="https://www.sec.gov/Archives/edgar/data/86312/000008631223000011/0000086312-23-000011-index.htm" TargetMode="External"/><Relationship Id="rId327" Type="http://schemas.openxmlformats.org/officeDocument/2006/relationships/hyperlink" Target="https://s26.q4cdn.com/410417801/files/doc_financials/2022/ar/B/Travelers-2022-Annual-Report-pdf.pdf" TargetMode="External"/><Relationship Id="rId328" Type="http://schemas.openxmlformats.org/officeDocument/2006/relationships/hyperlink" Target="https://www.sec.gov/Archives/edgar/data/86312/000008631223000011/0000086312-23-000011-index.htm" TargetMode="External"/><Relationship Id="rId329" Type="http://schemas.openxmlformats.org/officeDocument/2006/relationships/hyperlink" Target="https://s26.q4cdn.com/410417801/files/doc_financials/2022/ar/B/Travelers-2022-Annual-Report-pdf.pdf" TargetMode="External"/><Relationship Id="rId330" Type="http://schemas.openxmlformats.org/officeDocument/2006/relationships/hyperlink" Target="https://www.sec.gov/Archives/edgar/data/86312/000008631223000011/0000086312-23-000011-index.htm" TargetMode="External"/><Relationship Id="rId331" Type="http://schemas.openxmlformats.org/officeDocument/2006/relationships/hyperlink" Target="https://s26.q4cdn.com/410417801/files/doc_financials/2021/ar/Travelers-2021-Annual-Report.pdf" TargetMode="External"/><Relationship Id="rId332" Type="http://schemas.openxmlformats.org/officeDocument/2006/relationships/hyperlink" Target="https://www.sec.gov/Archives/edgar/data/86312/000008631222000013/0000086312-22-000013-index.htm" TargetMode="External"/><Relationship Id="rId333" Type="http://schemas.openxmlformats.org/officeDocument/2006/relationships/hyperlink" Target="https://s26.q4cdn.com/410417801/files/doc_financials/2021/ar/Travelers-2021-Annual-Report.pdf" TargetMode="External"/><Relationship Id="rId334" Type="http://schemas.openxmlformats.org/officeDocument/2006/relationships/hyperlink" Target="https://www.sec.gov/Archives/edgar/data/86312/000008631222000013/0000086312-22-000013-index.htm" TargetMode="External"/><Relationship Id="rId335" Type="http://schemas.openxmlformats.org/officeDocument/2006/relationships/hyperlink" Target="https://s26.q4cdn.com/410417801/files/doc_financials/2021/ar/Travelers-2021-Annual-Report.pdf" TargetMode="External"/><Relationship Id="rId336" Type="http://schemas.openxmlformats.org/officeDocument/2006/relationships/hyperlink" Target="https://www.sec.gov/Archives/edgar/data/86312/000008631222000013/0000086312-22-000013-index.htm" TargetMode="External"/><Relationship Id="rId337" Type="http://schemas.openxmlformats.org/officeDocument/2006/relationships/hyperlink" Target="https://s26.q4cdn.com/410417801/files/doc_financials/2021/ar/Travelers-2021-Annual-Report.pdf" TargetMode="External"/><Relationship Id="rId338" Type="http://schemas.openxmlformats.org/officeDocument/2006/relationships/hyperlink" Target="https://www.sec.gov/Archives/edgar/data/86312/000008631222000013/0000086312-22-000013-index.htm" TargetMode="External"/><Relationship Id="rId339" Type="http://schemas.openxmlformats.org/officeDocument/2006/relationships/hyperlink" Target="https://s26.q4cdn.com/410417801/files/doc_financials/2021/ar/Travelers-2021-Annual-Report.pdf" TargetMode="External"/><Relationship Id="rId340" Type="http://schemas.openxmlformats.org/officeDocument/2006/relationships/hyperlink" Target="https://www.sec.gov/Archives/edgar/data/86312/000008631222000013/0000086312-22-000013-index.htm" TargetMode="External"/><Relationship Id="rId341" Type="http://schemas.openxmlformats.org/officeDocument/2006/relationships/hyperlink" Target="https://s26.q4cdn.com/410417801/files/doc_financials/2022/ar/B/Travelers-2022-Annual-Report-pdf.pdf" TargetMode="External"/><Relationship Id="rId342" Type="http://schemas.openxmlformats.org/officeDocument/2006/relationships/hyperlink" Target="https://www.sec.gov/Archives/edgar/data/86312/000008631223000011/0000086312-23-000011-index.htm" TargetMode="External"/><Relationship Id="rId343" Type="http://schemas.openxmlformats.org/officeDocument/2006/relationships/hyperlink" Target="https://s26.q4cdn.com/410417801/files/doc_financials/2022/ar/B/Travelers-2022-Annual-Report-pdf.pdf" TargetMode="External"/><Relationship Id="rId344" Type="http://schemas.openxmlformats.org/officeDocument/2006/relationships/hyperlink" Target="https://www.sec.gov/Archives/edgar/data/86312/000008631223000011/0000086312-23-000011-index.htm" TargetMode="External"/><Relationship Id="rId345" Type="http://schemas.openxmlformats.org/officeDocument/2006/relationships/hyperlink" Target="https://s26.q4cdn.com/410417801/files/doc_financials/2021/ar/Travelers-2021-Annual-Report.pdf" TargetMode="External"/><Relationship Id="rId346" Type="http://schemas.openxmlformats.org/officeDocument/2006/relationships/hyperlink" Target="https://www.sec.gov/Archives/edgar/data/86312/000008631222000013/0000086312-22-000013-index.htm" TargetMode="External"/><Relationship Id="rId347" Type="http://schemas.openxmlformats.org/officeDocument/2006/relationships/hyperlink" Target="https://s26.q4cdn.com/410417801/files/doc_financials/2022/ar/B/Travelers-2022-Annual-Report-pdf.pdf" TargetMode="External"/><Relationship Id="rId348" Type="http://schemas.openxmlformats.org/officeDocument/2006/relationships/hyperlink" Target="https://www.sec.gov/Archives/edgar/data/86312/000008631223000011/0000086312-23-000011-index.htm" TargetMode="External"/><Relationship Id="rId349" Type="http://schemas.openxmlformats.org/officeDocument/2006/relationships/hyperlink" Target="https://s26.q4cdn.com/410417801/files/doc_financials/2022/ar/B/Travelers-2022-Annual-Report-pdf.pdf" TargetMode="External"/><Relationship Id="rId350" Type="http://schemas.openxmlformats.org/officeDocument/2006/relationships/hyperlink" Target="https://www.sec.gov/Archives/edgar/data/86312/000008631223000011/0000086312-23-000011-index.htm" TargetMode="External"/><Relationship Id="rId351" Type="http://schemas.openxmlformats.org/officeDocument/2006/relationships/hyperlink" Target="https://s26.q4cdn.com/410417801/files/doc_financials/2021/ar/Travelers-2021-Annual-Report.pdf" TargetMode="External"/><Relationship Id="rId352" Type="http://schemas.openxmlformats.org/officeDocument/2006/relationships/hyperlink" Target="https://www.sec.gov/Archives/edgar/data/86312/000008631222000013/0000086312-22-000013-index.htm" TargetMode="External"/><Relationship Id="rId353" Type="http://schemas.openxmlformats.org/officeDocument/2006/relationships/hyperlink" Target="https://s26.q4cdn.com/410417801/files/doc_financials/2022/ar/B/Travelers-2022-Annual-Report-pdf.pdf" TargetMode="External"/><Relationship Id="rId354" Type="http://schemas.openxmlformats.org/officeDocument/2006/relationships/hyperlink" Target="https://www.sec.gov/Archives/edgar/data/86312/000008631223000011/0000086312-23-000011-index.htm" TargetMode="External"/><Relationship Id="rId355" Type="http://schemas.openxmlformats.org/officeDocument/2006/relationships/hyperlink" Target="https://s26.q4cdn.com/410417801/files/doc_financials/2022/ar/B/Travelers-2022-Annual-Report-pdf.pdf" TargetMode="External"/><Relationship Id="rId356" Type="http://schemas.openxmlformats.org/officeDocument/2006/relationships/hyperlink" Target="https://www.sec.gov/Archives/edgar/data/86312/000008631223000011/0000086312-23-000011-index.htm" TargetMode="External"/><Relationship Id="rId357" Type="http://schemas.openxmlformats.org/officeDocument/2006/relationships/hyperlink" Target="https://s26.q4cdn.com/410417801/files/doc_financials/2022/ar/B/Travelers-2022-Annual-Report-pdf.pdf" TargetMode="External"/><Relationship Id="rId358" Type="http://schemas.openxmlformats.org/officeDocument/2006/relationships/hyperlink" Target="https://www.sec.gov/Archives/edgar/data/86312/000008631223000011/0000086312-23-000011-index.htm" TargetMode="External"/><Relationship Id="rId359" Type="http://schemas.openxmlformats.org/officeDocument/2006/relationships/hyperlink" Target="https://s26.q4cdn.com/410417801/files/doc_financials/2022/ar/B/Travelers-2022-Annual-Report-pdf.pdf" TargetMode="External"/><Relationship Id="rId360" Type="http://schemas.openxmlformats.org/officeDocument/2006/relationships/hyperlink" Target="https://www.sec.gov/Archives/edgar/data/86312/000008631223000011/0000086312-23-000011-index.htm" TargetMode="External"/><Relationship Id="rId361" Type="http://schemas.openxmlformats.org/officeDocument/2006/relationships/hyperlink" Target="https://s26.q4cdn.com/410417801/files/doc_financials/2022/ar/B/Travelers-2022-Annual-Report-pdf.pdf" TargetMode="External"/><Relationship Id="rId362" Type="http://schemas.openxmlformats.org/officeDocument/2006/relationships/hyperlink" Target="https://www.sec.gov/Archives/edgar/data/86312/000008631223000011/0000086312-23-000011-index.htm" TargetMode="External"/><Relationship Id="rId363" Type="http://schemas.openxmlformats.org/officeDocument/2006/relationships/hyperlink" Target="https://s26.q4cdn.com/410417801/files/doc_financials/2022/ar/B/Travelers-2022-Annual-Report-pdf.pdf" TargetMode="External"/><Relationship Id="rId364" Type="http://schemas.openxmlformats.org/officeDocument/2006/relationships/hyperlink" Target="https://www.sec.gov/Archives/edgar/data/86312/000008631223000011/0000086312-23-000011-index.htm" TargetMode="External"/><Relationship Id="rId365" Type="http://schemas.openxmlformats.org/officeDocument/2006/relationships/hyperlink" Target="https://s26.q4cdn.com/410417801/files/doc_financials/2021/ar/Travelers-2021-Annual-Report.pdf" TargetMode="External"/><Relationship Id="rId366" Type="http://schemas.openxmlformats.org/officeDocument/2006/relationships/hyperlink" Target="https://www.sec.gov/Archives/edgar/data/86312/000008631222000013/0000086312-22-000013-index.htm" TargetMode="External"/><Relationship Id="rId367" Type="http://schemas.openxmlformats.org/officeDocument/2006/relationships/hyperlink" Target="https://s26.q4cdn.com/410417801/files/doc_financials/2022/ar/B/Travelers-2022-Annual-Report-pdf.pdf" TargetMode="External"/><Relationship Id="rId368" Type="http://schemas.openxmlformats.org/officeDocument/2006/relationships/hyperlink" Target="https://www.sec.gov/Archives/edgar/data/86312/000008631223000011/0000086312-23-000011-index.htm" TargetMode="External"/><Relationship Id="rId369" Type="http://schemas.openxmlformats.org/officeDocument/2006/relationships/hyperlink" Target="https://s26.q4cdn.com/410417801/files/doc_financials/2022/ar/B/Travelers-2022-Annual-Report-pdf.pdf" TargetMode="External"/><Relationship Id="rId370" Type="http://schemas.openxmlformats.org/officeDocument/2006/relationships/hyperlink" Target="https://www.sec.gov/Archives/edgar/data/86312/000008631223000011/0000086312-23-000011-index.htm" TargetMode="External"/><Relationship Id="rId371" Type="http://schemas.openxmlformats.org/officeDocument/2006/relationships/hyperlink" Target="https://s26.q4cdn.com/410417801/files/doc_financials/2022/ar/B/Travelers-2022-Annual-Report-pdf.pdf" TargetMode="External"/><Relationship Id="rId372" Type="http://schemas.openxmlformats.org/officeDocument/2006/relationships/hyperlink" Target="https://www.sec.gov/Archives/edgar/data/86312/000008631223000011/0000086312-23-000011-index.htm" TargetMode="External"/><Relationship Id="rId373" Type="http://schemas.openxmlformats.org/officeDocument/2006/relationships/hyperlink" Target="https://s26.q4cdn.com/410417801/files/doc_financials/2021/ar/Travelers-2021-Annual-Report.pdf" TargetMode="External"/><Relationship Id="rId374" Type="http://schemas.openxmlformats.org/officeDocument/2006/relationships/hyperlink" Target="https://www.sec.gov/Archives/edgar/data/86312/000008631222000013/0000086312-22-000013-index.htm" TargetMode="External"/><Relationship Id="rId375" Type="http://schemas.openxmlformats.org/officeDocument/2006/relationships/hyperlink" Target="https://s26.q4cdn.com/410417801/files/doc_financials/2022/ar/B/Travelers-2022-Annual-Report-pdf.pdf" TargetMode="External"/><Relationship Id="rId376" Type="http://schemas.openxmlformats.org/officeDocument/2006/relationships/hyperlink" Target="https://www.sec.gov/Archives/edgar/data/86312/000008631223000011/0000086312-23-000011-index.htm" TargetMode="External"/><Relationship Id="rId377" Type="http://schemas.openxmlformats.org/officeDocument/2006/relationships/hyperlink" Target="https://s26.q4cdn.com/410417801/files/doc_financials/2022/ar/B/Travelers-2022-Annual-Report-pdf.pdf" TargetMode="External"/><Relationship Id="rId378" Type="http://schemas.openxmlformats.org/officeDocument/2006/relationships/hyperlink" Target="https://www.sec.gov/Archives/edgar/data/86312/000008631223000011/0000086312-23-000011-index.htm" TargetMode="External"/><Relationship Id="rId379" Type="http://schemas.openxmlformats.org/officeDocument/2006/relationships/hyperlink" Target="https://s26.q4cdn.com/410417801/files/doc_financials/2022/ar/B/Travelers-2022-Annual-Report-pdf.pdf" TargetMode="External"/><Relationship Id="rId380" Type="http://schemas.openxmlformats.org/officeDocument/2006/relationships/hyperlink" Target="https://www.sec.gov/Archives/edgar/data/86312/000008631223000011/0000086312-23-000011-index.htm" TargetMode="External"/><Relationship Id="rId381" Type="http://schemas.openxmlformats.org/officeDocument/2006/relationships/hyperlink" Target="https://s26.q4cdn.com/410417801/files/doc_financials/2021/ar/Travelers-2021-Annual-Report.pdf" TargetMode="External"/><Relationship Id="rId382" Type="http://schemas.openxmlformats.org/officeDocument/2006/relationships/hyperlink" Target="https://www.sec.gov/Archives/edgar/data/86312/000008631222000013/0000086312-22-000013-index.htm" TargetMode="External"/><Relationship Id="rId383" Type="http://schemas.openxmlformats.org/officeDocument/2006/relationships/hyperlink" Target="https://s26.q4cdn.com/410417801/files/doc_financials/2021/ar/Travelers-2021-Annual-Report.pdf" TargetMode="External"/><Relationship Id="rId384" Type="http://schemas.openxmlformats.org/officeDocument/2006/relationships/hyperlink" Target="https://www.sec.gov/Archives/edgar/data/86312/000008631222000013/0000086312-22-000013-index.htm" TargetMode="External"/><Relationship Id="rId385" Type="http://schemas.openxmlformats.org/officeDocument/2006/relationships/hyperlink" Target="https://s26.q4cdn.com/410417801/files/doc_financials/2022/ar/B/Travelers-2022-Annual-Report-pdf.pdf" TargetMode="External"/><Relationship Id="rId386" Type="http://schemas.openxmlformats.org/officeDocument/2006/relationships/hyperlink" Target="https://www.sec.gov/Archives/edgar/data/86312/000008631223000011/0000086312-23-000011-index.htm" TargetMode="External"/><Relationship Id="rId387" Type="http://schemas.openxmlformats.org/officeDocument/2006/relationships/hyperlink" Target="https://s26.q4cdn.com/410417801/files/doc_financials/2022/ar/B/Travelers-2022-Annual-Report-pdf.pdf" TargetMode="External"/><Relationship Id="rId388" Type="http://schemas.openxmlformats.org/officeDocument/2006/relationships/hyperlink" Target="https://www.sec.gov/Archives/edgar/data/86312/000008631223000011/0000086312-23-000011-index.htm" TargetMode="External"/><Relationship Id="rId389" Type="http://schemas.openxmlformats.org/officeDocument/2006/relationships/hyperlink" Target="https://s26.q4cdn.com/410417801/files/doc_financials/2022/ar/B/Travelers-2022-Annual-Report-pdf.pdf" TargetMode="External"/><Relationship Id="rId390" Type="http://schemas.openxmlformats.org/officeDocument/2006/relationships/hyperlink" Target="https://www.sec.gov/Archives/edgar/data/86312/000008631223000011/0000086312-23-000011-index.htm" TargetMode="External"/><Relationship Id="rId391" Type="http://schemas.openxmlformats.org/officeDocument/2006/relationships/hyperlink" Target="https://s26.q4cdn.com/410417801/files/doc_financials/2022/ar/B/Travelers-2022-Annual-Report-pdf.pdf" TargetMode="External"/><Relationship Id="rId392" Type="http://schemas.openxmlformats.org/officeDocument/2006/relationships/hyperlink" Target="https://www.sec.gov/Archives/edgar/data/86312/000008631223000011/0000086312-23-000011-index.htm" TargetMode="External"/><Relationship Id="rId393" Type="http://schemas.openxmlformats.org/officeDocument/2006/relationships/hyperlink" Target="https://s26.q4cdn.com/410417801/files/doc_financials/2021/ar/Travelers-2021-Annual-Report.pdf" TargetMode="External"/><Relationship Id="rId394" Type="http://schemas.openxmlformats.org/officeDocument/2006/relationships/hyperlink" Target="https://www.sec.gov/Archives/edgar/data/86312/000008631222000013/0000086312-22-000013-index.htm" TargetMode="External"/><Relationship Id="rId395" Type="http://schemas.openxmlformats.org/officeDocument/2006/relationships/hyperlink" Target="https://s26.q4cdn.com/410417801/files/doc_financials/2022/ar/B/Travelers-2022-Annual-Report-pdf.pdf" TargetMode="External"/><Relationship Id="rId396" Type="http://schemas.openxmlformats.org/officeDocument/2006/relationships/hyperlink" Target="https://www.sec.gov/Archives/edgar/data/86312/000008631223000011/0000086312-23-000011-index.htm" TargetMode="External"/><Relationship Id="rId397" Type="http://schemas.openxmlformats.org/officeDocument/2006/relationships/hyperlink" Target="https://s26.q4cdn.com/410417801/files/doc_financials/2021/ar/Travelers-2021-Annual-Report.pdf" TargetMode="External"/><Relationship Id="rId398" Type="http://schemas.openxmlformats.org/officeDocument/2006/relationships/hyperlink" Target="https://www.sec.gov/Archives/edgar/data/86312/000008631222000013/0000086312-22-000013-index.htm" TargetMode="External"/><Relationship Id="rId399" Type="http://schemas.openxmlformats.org/officeDocument/2006/relationships/hyperlink" Target="https://s26.q4cdn.com/410417801/files/doc_financials/2021/ar/Travelers-2021-Annual-Report.pdf" TargetMode="External"/><Relationship Id="rId400" Type="http://schemas.openxmlformats.org/officeDocument/2006/relationships/hyperlink" Target="https://www.sec.gov/Archives/edgar/data/86312/000008631222000013/0000086312-22-000013-index.htm" TargetMode="External"/><Relationship Id="rId401" Type="http://schemas.openxmlformats.org/officeDocument/2006/relationships/hyperlink" Target="https://s26.q4cdn.com/410417801/files/doc_financials/2022/ar/B/Travelers-2022-Annual-Report-pdf.pdf" TargetMode="External"/><Relationship Id="rId402" Type="http://schemas.openxmlformats.org/officeDocument/2006/relationships/hyperlink" Target="https://www.sec.gov/Archives/edgar/data/86312/000008631223000011/0000086312-23-000011-index.htm" TargetMode="External"/><Relationship Id="rId403" Type="http://schemas.openxmlformats.org/officeDocument/2006/relationships/hyperlink" Target="https://s26.q4cdn.com/410417801/files/doc_financials/2021/ar/Travelers-2021-Annual-Report.pdf" TargetMode="External"/><Relationship Id="rId404" Type="http://schemas.openxmlformats.org/officeDocument/2006/relationships/hyperlink" Target="https://www.sec.gov/Archives/edgar/data/86312/000008631222000013/0000086312-22-000013-index.htm" TargetMode="External"/><Relationship Id="rId405" Type="http://schemas.openxmlformats.org/officeDocument/2006/relationships/hyperlink" Target="https://s26.q4cdn.com/410417801/files/doc_financials/2022/ar/B/Travelers-2022-Annual-Report-pdf.pdf" TargetMode="External"/><Relationship Id="rId406" Type="http://schemas.openxmlformats.org/officeDocument/2006/relationships/hyperlink" Target="https://www.sec.gov/Archives/edgar/data/86312/000008631223000011/0000086312-23-000011-index.htm" TargetMode="External"/><Relationship Id="rId407" Type="http://schemas.openxmlformats.org/officeDocument/2006/relationships/hyperlink" Target="https://s26.q4cdn.com/410417801/files/doc_financials/2022/ar/B/Travelers-2022-Annual-Report-pdf.pdf" TargetMode="External"/><Relationship Id="rId408" Type="http://schemas.openxmlformats.org/officeDocument/2006/relationships/hyperlink" Target="https://www.sec.gov/Archives/edgar/data/86312/000008631223000011/0000086312-23-000011-index.htm" TargetMode="External"/><Relationship Id="rId409" Type="http://schemas.openxmlformats.org/officeDocument/2006/relationships/hyperlink" Target="https://s26.q4cdn.com/410417801/files/doc_financials/2022/ar/B/Travelers-2022-Annual-Report-pdf.pdf" TargetMode="External"/><Relationship Id="rId410" Type="http://schemas.openxmlformats.org/officeDocument/2006/relationships/hyperlink" Target="https://www.sec.gov/Archives/edgar/data/86312/000008631223000011/0000086312-23-000011-index.htm" TargetMode="External"/><Relationship Id="rId411" Type="http://schemas.openxmlformats.org/officeDocument/2006/relationships/hyperlink" Target="https://s26.q4cdn.com/410417801/files/doc_financials/2022/ar/B/Travelers-2022-Annual-Report-pdf.pdf" TargetMode="External"/><Relationship Id="rId412" Type="http://schemas.openxmlformats.org/officeDocument/2006/relationships/hyperlink" Target="https://www.sec.gov/Archives/edgar/data/86312/000008631223000011/0000086312-23-000011-index.htm" TargetMode="External"/><Relationship Id="rId413" Type="http://schemas.openxmlformats.org/officeDocument/2006/relationships/hyperlink" Target="https://s26.q4cdn.com/410417801/files/doc_financials/2021/ar/Travelers-2021-Annual-Report.pdf" TargetMode="External"/><Relationship Id="rId414" Type="http://schemas.openxmlformats.org/officeDocument/2006/relationships/hyperlink" Target="https://www.sec.gov/Archives/edgar/data/86312/000008631222000013/0000086312-22-000013-index.htm" TargetMode="External"/><Relationship Id="rId415" Type="http://schemas.openxmlformats.org/officeDocument/2006/relationships/hyperlink" Target="https://s26.q4cdn.com/410417801/files/doc_financials/2021/ar/Travelers-2021-Annual-Report.pdf" TargetMode="External"/><Relationship Id="rId416" Type="http://schemas.openxmlformats.org/officeDocument/2006/relationships/hyperlink" Target="https://www.sec.gov/Archives/edgar/data/86312/000008631222000013/0000086312-22-000013-index.htm" TargetMode="External"/><Relationship Id="rId417" Type="http://schemas.openxmlformats.org/officeDocument/2006/relationships/hyperlink" Target="https://s26.q4cdn.com/410417801/files/doc_financials/2022/ar/B/Travelers-2022-Annual-Report-pdf.pdf" TargetMode="External"/><Relationship Id="rId418" Type="http://schemas.openxmlformats.org/officeDocument/2006/relationships/hyperlink" Target="https://www.sec.gov/Archives/edgar/data/86312/000008631223000011/0000086312-23-000011-index.htm" TargetMode="External"/><Relationship Id="rId419" Type="http://schemas.openxmlformats.org/officeDocument/2006/relationships/hyperlink" Target="https://s26.q4cdn.com/410417801/files/doc_financials/2022/ar/B/Travelers-2022-Annual-Report-pdf.pdf" TargetMode="External"/><Relationship Id="rId420" Type="http://schemas.openxmlformats.org/officeDocument/2006/relationships/hyperlink" Target="https://www.sec.gov/Archives/edgar/data/86312/000008631223000011/0000086312-23-000011-index.htm" TargetMode="External"/><Relationship Id="rId421" Type="http://schemas.openxmlformats.org/officeDocument/2006/relationships/hyperlink" Target="https://s26.q4cdn.com/410417801/files/doc_financials/2021/ar/Travelers-2021-Annual-Report.pdf" TargetMode="External"/><Relationship Id="rId422" Type="http://schemas.openxmlformats.org/officeDocument/2006/relationships/hyperlink" Target="https://www.sec.gov/Archives/edgar/data/86312/000008631222000013/0000086312-22-000013-index.htm" TargetMode="External"/><Relationship Id="rId423" Type="http://schemas.openxmlformats.org/officeDocument/2006/relationships/hyperlink" Target="https://s26.q4cdn.com/410417801/files/doc_financials/2022/ar/B/Travelers-2022-Annual-Report-pdf.pdf" TargetMode="External"/><Relationship Id="rId424" Type="http://schemas.openxmlformats.org/officeDocument/2006/relationships/hyperlink" Target="https://www.sec.gov/Archives/edgar/data/86312/000008631223000011/0000086312-23-000011-index.htm" TargetMode="External"/><Relationship Id="rId425" Type="http://schemas.openxmlformats.org/officeDocument/2006/relationships/hyperlink" Target="https://s26.q4cdn.com/410417801/files/doc_financials/2022/ar/B/Travelers-2022-Annual-Report-pdf.pdf" TargetMode="External"/><Relationship Id="rId426" Type="http://schemas.openxmlformats.org/officeDocument/2006/relationships/hyperlink" Target="https://www.sec.gov/Archives/edgar/data/86312/000008631223000011/0000086312-23-000011-index.htm" TargetMode="External"/><Relationship Id="rId427" Type="http://schemas.openxmlformats.org/officeDocument/2006/relationships/hyperlink" Target="https://s26.q4cdn.com/410417801/files/doc_financials/2021/ar/Travelers-2021-Annual-Report.pdf" TargetMode="External"/><Relationship Id="rId428" Type="http://schemas.openxmlformats.org/officeDocument/2006/relationships/hyperlink" Target="https://www.sec.gov/Archives/edgar/data/86312/000008631222000013/0000086312-22-000013-index.htm" TargetMode="External"/><Relationship Id="rId429" Type="http://schemas.openxmlformats.org/officeDocument/2006/relationships/hyperlink" Target="https://s26.q4cdn.com/410417801/files/doc_financials/2021/ar/Travelers-2021-Annual-Report.pdf" TargetMode="External"/><Relationship Id="rId430" Type="http://schemas.openxmlformats.org/officeDocument/2006/relationships/hyperlink" Target="https://www.sec.gov/Archives/edgar/data/86312/000008631222000013/0000086312-22-000013-index.htm" TargetMode="External"/><Relationship Id="rId431" Type="http://schemas.openxmlformats.org/officeDocument/2006/relationships/hyperlink" Target="https://s26.q4cdn.com/410417801/files/doc_financials/2022/ar/B/Travelers-2022-Annual-Report-pdf.pdf" TargetMode="External"/><Relationship Id="rId432" Type="http://schemas.openxmlformats.org/officeDocument/2006/relationships/hyperlink" Target="https://www.sec.gov/Archives/edgar/data/86312/000008631223000011/0000086312-23-000011-index.htm" TargetMode="External"/><Relationship Id="rId433" Type="http://schemas.openxmlformats.org/officeDocument/2006/relationships/hyperlink" Target="https://s26.q4cdn.com/410417801/files/doc_financials/2021/ar/Travelers-2021-Annual-Report.pdf" TargetMode="External"/><Relationship Id="rId434" Type="http://schemas.openxmlformats.org/officeDocument/2006/relationships/hyperlink" Target="https://www.sec.gov/Archives/edgar/data/86312/000008631222000013/0000086312-22-000013-index.htm" TargetMode="External"/><Relationship Id="rId435" Type="http://schemas.openxmlformats.org/officeDocument/2006/relationships/hyperlink" Target="https://s26.q4cdn.com/410417801/files/doc_financials/2021/ar/Travelers-2021-Annual-Report.pdf" TargetMode="External"/><Relationship Id="rId436" Type="http://schemas.openxmlformats.org/officeDocument/2006/relationships/hyperlink" Target="https://www.sec.gov/Archives/edgar/data/86312/000008631222000013/0000086312-22-000013-index.htm" TargetMode="External"/><Relationship Id="rId437" Type="http://schemas.openxmlformats.org/officeDocument/2006/relationships/hyperlink" Target="https://s26.q4cdn.com/410417801/files/doc_financials/2021/ar/Travelers-2021-Annual-Report.pdf" TargetMode="External"/><Relationship Id="rId438" Type="http://schemas.openxmlformats.org/officeDocument/2006/relationships/hyperlink" Target="https://www.sec.gov/Archives/edgar/data/86312/000008631222000013/0000086312-22-000013-index.htm" TargetMode="External"/><Relationship Id="rId439" Type="http://schemas.openxmlformats.org/officeDocument/2006/relationships/hyperlink" Target="https://s26.q4cdn.com/410417801/files/doc_financials/2022/ar/B/Travelers-2022-Annual-Report-pdf.pdf" TargetMode="External"/><Relationship Id="rId440" Type="http://schemas.openxmlformats.org/officeDocument/2006/relationships/hyperlink" Target="https://www.sec.gov/Archives/edgar/data/86312/000008631223000011/0000086312-23-000011-index.htm" TargetMode="External"/><Relationship Id="rId441" Type="http://schemas.openxmlformats.org/officeDocument/2006/relationships/hyperlink" Target="https://s26.q4cdn.com/410417801/files/doc_financials/2021/ar/Travelers-2021-Annual-Report.pdf" TargetMode="External"/><Relationship Id="rId442" Type="http://schemas.openxmlformats.org/officeDocument/2006/relationships/hyperlink" Target="https://www.sec.gov/Archives/edgar/data/86312/000008631222000013/0000086312-22-000013-index.htm" TargetMode="External"/><Relationship Id="rId443" Type="http://schemas.openxmlformats.org/officeDocument/2006/relationships/hyperlink" Target="https://s26.q4cdn.com/410417801/files/doc_financials/2022/ar/B/Travelers-2022-Annual-Report-pdf.pdf" TargetMode="External"/><Relationship Id="rId444" Type="http://schemas.openxmlformats.org/officeDocument/2006/relationships/hyperlink" Target="https://www.sec.gov/Archives/edgar/data/86312/000008631223000011/0000086312-23-000011-index.htm" TargetMode="External"/><Relationship Id="rId445" Type="http://schemas.openxmlformats.org/officeDocument/2006/relationships/hyperlink" Target="https://s26.q4cdn.com/410417801/files/doc_financials/2022/ar/B/Travelers-2022-Annual-Report-pdf.pdf" TargetMode="External"/><Relationship Id="rId446" Type="http://schemas.openxmlformats.org/officeDocument/2006/relationships/hyperlink" Target="https://www.sec.gov/Archives/edgar/data/86312/000008631223000011/0000086312-23-000011-index.htm" TargetMode="External"/><Relationship Id="rId447" Type="http://schemas.openxmlformats.org/officeDocument/2006/relationships/hyperlink" Target="https://s26.q4cdn.com/410417801/files/doc_financials/2022/ar/B/Travelers-2022-Annual-Report-pdf.pdf" TargetMode="External"/><Relationship Id="rId448" Type="http://schemas.openxmlformats.org/officeDocument/2006/relationships/hyperlink" Target="https://www.sec.gov/Archives/edgar/data/86312/000008631223000011/0000086312-23-000011-index.htm" TargetMode="External"/><Relationship Id="rId449" Type="http://schemas.openxmlformats.org/officeDocument/2006/relationships/hyperlink" Target="https://s26.q4cdn.com/410417801/files/doc_financials/2021/ar/Travelers-2021-Annual-Report.pdf" TargetMode="External"/><Relationship Id="rId450" Type="http://schemas.openxmlformats.org/officeDocument/2006/relationships/hyperlink" Target="https://www.sec.gov/Archives/edgar/data/86312/000008631222000013/0000086312-22-000013-index.htm" TargetMode="External"/><Relationship Id="rId451" Type="http://schemas.openxmlformats.org/officeDocument/2006/relationships/hyperlink" Target="https://s26.q4cdn.com/410417801/files/doc_financials/2021/ar/Travelers-2021-Annual-Report.pdf" TargetMode="External"/><Relationship Id="rId452" Type="http://schemas.openxmlformats.org/officeDocument/2006/relationships/hyperlink" Target="https://www.sec.gov/Archives/edgar/data/86312/000008631222000013/0000086312-22-000013-index.htm" TargetMode="External"/><Relationship Id="rId453" Type="http://schemas.openxmlformats.org/officeDocument/2006/relationships/hyperlink" Target="https://s26.q4cdn.com/410417801/files/doc_financials/2021/ar/Travelers-2021-Annual-Report.pdf" TargetMode="External"/><Relationship Id="rId454" Type="http://schemas.openxmlformats.org/officeDocument/2006/relationships/hyperlink" Target="https://www.sec.gov/Archives/edgar/data/86312/000008631222000013/0000086312-22-000013-index.htm" TargetMode="External"/><Relationship Id="rId455" Type="http://schemas.openxmlformats.org/officeDocument/2006/relationships/hyperlink" Target="https://s26.q4cdn.com/410417801/files/doc_financials/2021/ar/Travelers-2021-Annual-Report.pdf" TargetMode="External"/><Relationship Id="rId456" Type="http://schemas.openxmlformats.org/officeDocument/2006/relationships/hyperlink" Target="https://www.sec.gov/Archives/edgar/data/86312/000008631222000013/0000086312-22-000013-index.htm" TargetMode="External"/><Relationship Id="rId457" Type="http://schemas.openxmlformats.org/officeDocument/2006/relationships/hyperlink" Target="https://s26.q4cdn.com/410417801/files/doc_financials/2021/ar/Travelers-2021-Annual-Report.pdf" TargetMode="External"/><Relationship Id="rId458" Type="http://schemas.openxmlformats.org/officeDocument/2006/relationships/hyperlink" Target="https://www.sec.gov/Archives/edgar/data/86312/000008631222000013/0000086312-22-000013-index.htm" TargetMode="External"/><Relationship Id="rId459" Type="http://schemas.openxmlformats.org/officeDocument/2006/relationships/hyperlink" Target="https://s26.q4cdn.com/410417801/files/doc_financials/2021/ar/Travelers-2021-Annual-Report.pdf" TargetMode="External"/><Relationship Id="rId460" Type="http://schemas.openxmlformats.org/officeDocument/2006/relationships/hyperlink" Target="https://www.sec.gov/Archives/edgar/data/86312/000008631222000013/0000086312-22-000013-index.htm" TargetMode="External"/><Relationship Id="rId461" Type="http://schemas.openxmlformats.org/officeDocument/2006/relationships/hyperlink" Target="https://s26.q4cdn.com/410417801/files/doc_financials/2021/ar/Travelers-2021-Annual-Report.pdf" TargetMode="External"/><Relationship Id="rId462" Type="http://schemas.openxmlformats.org/officeDocument/2006/relationships/hyperlink" Target="https://www.sec.gov/Archives/edgar/data/86312/000008631222000013/0000086312-22-000013-index.htm" TargetMode="External"/><Relationship Id="rId463" Type="http://schemas.openxmlformats.org/officeDocument/2006/relationships/hyperlink" Target="https://s26.q4cdn.com/410417801/files/doc_financials/2021/ar/Travelers-2021-Annual-Report.pdf" TargetMode="External"/><Relationship Id="rId464" Type="http://schemas.openxmlformats.org/officeDocument/2006/relationships/hyperlink" Target="https://www.sec.gov/Archives/edgar/data/86312/000008631222000013/0000086312-22-000013-index.htm" TargetMode="External"/><Relationship Id="rId465" Type="http://schemas.openxmlformats.org/officeDocument/2006/relationships/hyperlink" Target="https://s26.q4cdn.com/410417801/files/doc_financials/2022/ar/B/Travelers-2022-Annual-Report-pdf.pdf" TargetMode="External"/><Relationship Id="rId466" Type="http://schemas.openxmlformats.org/officeDocument/2006/relationships/hyperlink" Target="https://www.sec.gov/Archives/edgar/data/86312/000008631223000011/0000086312-23-000011-index.htm" TargetMode="External"/><Relationship Id="rId467" Type="http://schemas.openxmlformats.org/officeDocument/2006/relationships/hyperlink" Target="https://s26.q4cdn.com/410417801/files/doc_financials/2022/ar/B/Travelers-2022-Annual-Report-pdf.pdf" TargetMode="External"/><Relationship Id="rId468" Type="http://schemas.openxmlformats.org/officeDocument/2006/relationships/hyperlink" Target="https://www.sec.gov/Archives/edgar/data/86312/000008631223000011/0000086312-23-000011-index.htm" TargetMode="External"/><Relationship Id="rId469" Type="http://schemas.openxmlformats.org/officeDocument/2006/relationships/hyperlink" Target="https://s26.q4cdn.com/410417801/files/doc_financials/2021/ar/Travelers-2021-Annual-Report.pdf" TargetMode="External"/><Relationship Id="rId470" Type="http://schemas.openxmlformats.org/officeDocument/2006/relationships/hyperlink" Target="https://www.sec.gov/Archives/edgar/data/86312/000008631222000013/0000086312-22-000013-index.htm" TargetMode="External"/><Relationship Id="rId471" Type="http://schemas.openxmlformats.org/officeDocument/2006/relationships/hyperlink" Target="https://s26.q4cdn.com/410417801/files/doc_financials/2022/ar/B/Travelers-2022-Annual-Report-pdf.pdf" TargetMode="External"/><Relationship Id="rId472" Type="http://schemas.openxmlformats.org/officeDocument/2006/relationships/hyperlink" Target="https://www.sec.gov/Archives/edgar/data/86312/000008631223000011/0000086312-23-000011-index.htm" TargetMode="External"/><Relationship Id="rId473" Type="http://schemas.openxmlformats.org/officeDocument/2006/relationships/hyperlink" Target="https://s26.q4cdn.com/410417801/files/doc_financials/2022/ar/B/Travelers-2022-Annual-Report-pdf.pdf" TargetMode="External"/><Relationship Id="rId474" Type="http://schemas.openxmlformats.org/officeDocument/2006/relationships/hyperlink" Target="https://www.sec.gov/Archives/edgar/data/86312/000008631223000011/0000086312-23-000011-index.htm" TargetMode="External"/><Relationship Id="rId475" Type="http://schemas.openxmlformats.org/officeDocument/2006/relationships/hyperlink" Target="https://s26.q4cdn.com/410417801/files/doc_financials/2022/ar/B/Travelers-2022-Annual-Report-pdf.pdf" TargetMode="External"/><Relationship Id="rId476" Type="http://schemas.openxmlformats.org/officeDocument/2006/relationships/hyperlink" Target="https://www.sec.gov/Archives/edgar/data/86312/000008631223000011/0000086312-23-000011-index.htm" TargetMode="External"/><Relationship Id="rId477" Type="http://schemas.openxmlformats.org/officeDocument/2006/relationships/hyperlink" Target="https://s26.q4cdn.com/410417801/files/doc_financials/2021/ar/Travelers-2021-Annual-Report.pdf" TargetMode="External"/><Relationship Id="rId478" Type="http://schemas.openxmlformats.org/officeDocument/2006/relationships/hyperlink" Target="https://www.sec.gov/Archives/edgar/data/86312/000008631222000013/0000086312-22-000013-index.htm" TargetMode="External"/><Relationship Id="rId479" Type="http://schemas.openxmlformats.org/officeDocument/2006/relationships/hyperlink" Target="https://s26.q4cdn.com/410417801/files/doc_financials/2022/ar/B/Travelers-2022-Annual-Report-pdf.pdf" TargetMode="External"/><Relationship Id="rId480" Type="http://schemas.openxmlformats.org/officeDocument/2006/relationships/hyperlink" Target="https://www.sec.gov/Archives/edgar/data/86312/000008631223000011/0000086312-23-000011-index.htm" TargetMode="External"/><Relationship Id="rId481" Type="http://schemas.openxmlformats.org/officeDocument/2006/relationships/hyperlink" Target="https://s26.q4cdn.com/410417801/files/doc_financials/2021/ar/Travelers-2021-Annual-Report.pdf" TargetMode="External"/><Relationship Id="rId482" Type="http://schemas.openxmlformats.org/officeDocument/2006/relationships/hyperlink" Target="https://www.sec.gov/Archives/edgar/data/86312/000008631222000013/0000086312-22-000013-index.htm" TargetMode="External"/><Relationship Id="rId483" Type="http://schemas.openxmlformats.org/officeDocument/2006/relationships/hyperlink" Target="https://s26.q4cdn.com/410417801/files/doc_financials/2021/ar/Travelers-2021-Annual-Report.pdf" TargetMode="External"/><Relationship Id="rId484" Type="http://schemas.openxmlformats.org/officeDocument/2006/relationships/hyperlink" Target="https://www.sec.gov/Archives/edgar/data/86312/000008631222000013/0000086312-22-000013-index.htm" TargetMode="External"/><Relationship Id="rId485" Type="http://schemas.openxmlformats.org/officeDocument/2006/relationships/hyperlink" Target="https://s26.q4cdn.com/410417801/files/doc_financials/2022/ar/B/Travelers-2022-Annual-Report-pdf.pdf" TargetMode="External"/><Relationship Id="rId486" Type="http://schemas.openxmlformats.org/officeDocument/2006/relationships/hyperlink" Target="https://www.sec.gov/Archives/edgar/data/86312/000008631223000011/0000086312-23-000011-index.htm" TargetMode="External"/><Relationship Id="rId487" Type="http://schemas.openxmlformats.org/officeDocument/2006/relationships/hyperlink" Target="https://s26.q4cdn.com/410417801/files/doc_financials/2021/ar/Travelers-2021-Annual-Report.pdf" TargetMode="External"/><Relationship Id="rId488" Type="http://schemas.openxmlformats.org/officeDocument/2006/relationships/hyperlink" Target="https://www.sec.gov/Archives/edgar/data/86312/000008631222000013/0000086312-22-000013-index.htm" TargetMode="External"/><Relationship Id="rId489" Type="http://schemas.openxmlformats.org/officeDocument/2006/relationships/hyperlink" Target="https://s26.q4cdn.com/410417801/files/doc_financials/2022/ar/B/Travelers-2022-Annual-Report-pdf.pdf" TargetMode="External"/><Relationship Id="rId490" Type="http://schemas.openxmlformats.org/officeDocument/2006/relationships/hyperlink" Target="https://www.sec.gov/Archives/edgar/data/86312/000008631223000011/0000086312-23-000011-index.htm" TargetMode="External"/><Relationship Id="rId491" Type="http://schemas.openxmlformats.org/officeDocument/2006/relationships/hyperlink" Target="https://s26.q4cdn.com/410417801/files/doc_financials/2021/ar/Travelers-2021-Annual-Report.pdf" TargetMode="External"/><Relationship Id="rId492" Type="http://schemas.openxmlformats.org/officeDocument/2006/relationships/hyperlink" Target="https://www.sec.gov/Archives/edgar/data/86312/000008631222000013/0000086312-22-000013-index.htm" TargetMode="External"/><Relationship Id="rId493" Type="http://schemas.openxmlformats.org/officeDocument/2006/relationships/hyperlink" Target="https://s26.q4cdn.com/410417801/files/doc_financials/2021/ar/Travelers-2021-Annual-Report.pdf" TargetMode="External"/><Relationship Id="rId494" Type="http://schemas.openxmlformats.org/officeDocument/2006/relationships/hyperlink" Target="https://www.sec.gov/Archives/edgar/data/86312/000008631222000013/0000086312-22-000013-index.htm" TargetMode="External"/><Relationship Id="rId495" Type="http://schemas.openxmlformats.org/officeDocument/2006/relationships/hyperlink" Target="https://s26.q4cdn.com/410417801/files/doc_financials/2022/ar/B/Travelers-2022-Annual-Report-pdf.pdf" TargetMode="External"/><Relationship Id="rId496" Type="http://schemas.openxmlformats.org/officeDocument/2006/relationships/hyperlink" Target="https://www.sec.gov/Archives/edgar/data/86312/000008631223000011/0000086312-23-000011-index.htm" TargetMode="External"/><Relationship Id="rId497" Type="http://schemas.openxmlformats.org/officeDocument/2006/relationships/hyperlink" Target="https://s26.q4cdn.com/410417801/files/doc_financials/2023/ar/Travelers-2023-Annual__Report.pdf" TargetMode="External"/><Relationship Id="rId498" Type="http://schemas.openxmlformats.org/officeDocument/2006/relationships/hyperlink" Target="https://www.sec.gov/Archives/edgar/data/86312/000008631224000012/0000086312-24-000012-index.htm" TargetMode="External"/><Relationship Id="rId499" Type="http://schemas.openxmlformats.org/officeDocument/2006/relationships/hyperlink" Target="https://s26.q4cdn.com/410417801/files/doc_financials/2022/ar/B/Travelers-2022-Annual-Report-pdf.pdf" TargetMode="External"/><Relationship Id="rId500" Type="http://schemas.openxmlformats.org/officeDocument/2006/relationships/hyperlink" Target="https://www.sec.gov/Archives/edgar/data/86312/000008631223000011/0000086312-23-000011-index.htm" TargetMode="External"/><Relationship Id="rId501" Type="http://schemas.openxmlformats.org/officeDocument/2006/relationships/hyperlink" Target="https://s26.q4cdn.com/410417801/files/doc_financials/2023/ar/Travelers-2023-Annual__Report.pdf" TargetMode="External"/><Relationship Id="rId502" Type="http://schemas.openxmlformats.org/officeDocument/2006/relationships/hyperlink" Target="https://www.sec.gov/Archives/edgar/data/86312/000008631224000012/0000086312-24-000012-index.htm" TargetMode="External"/><Relationship Id="rId503" Type="http://schemas.openxmlformats.org/officeDocument/2006/relationships/hyperlink" Target="https://s26.q4cdn.com/410417801/files/doc_financials/2022/ar/B/Travelers-2022-Annual-Report-pdf.pdf" TargetMode="External"/><Relationship Id="rId504" Type="http://schemas.openxmlformats.org/officeDocument/2006/relationships/hyperlink" Target="https://www.sec.gov/Archives/edgar/data/86312/000008631223000011/0000086312-23-000011-index.htm" TargetMode="External"/><Relationship Id="rId505" Type="http://schemas.openxmlformats.org/officeDocument/2006/relationships/hyperlink" Target="https://s26.q4cdn.com/410417801/files/doc_financials/2022/ar/B/Travelers-2022-Annual-Report-pdf.pdf" TargetMode="External"/><Relationship Id="rId506" Type="http://schemas.openxmlformats.org/officeDocument/2006/relationships/hyperlink" Target="https://www.sec.gov/Archives/edgar/data/86312/000008631223000011/0000086312-23-000011-index.htm" TargetMode="External"/><Relationship Id="rId507" Type="http://schemas.openxmlformats.org/officeDocument/2006/relationships/hyperlink" Target="https://s26.q4cdn.com/410417801/files/doc_financials/2022/ar/B/Travelers-2022-Annual-Report-pdf.pdf" TargetMode="External"/><Relationship Id="rId508" Type="http://schemas.openxmlformats.org/officeDocument/2006/relationships/hyperlink" Target="https://www.sec.gov/Archives/edgar/data/86312/000008631223000011/0000086312-23-000011-index.htm" TargetMode="External"/><Relationship Id="rId509" Type="http://schemas.openxmlformats.org/officeDocument/2006/relationships/hyperlink" Target="https://s26.q4cdn.com/410417801/files/doc_financials/2022/ar/B/Travelers-2022-Annual-Report-pdf.pdf" TargetMode="External"/><Relationship Id="rId510" Type="http://schemas.openxmlformats.org/officeDocument/2006/relationships/hyperlink" Target="https://www.sec.gov/Archives/edgar/data/86312/000008631223000011/0000086312-23-000011-index.htm" TargetMode="External"/><Relationship Id="rId511" Type="http://schemas.openxmlformats.org/officeDocument/2006/relationships/hyperlink" Target="https://s26.q4cdn.com/410417801/files/doc_financials/2022/ar/B/Travelers-2022-Annual-Report-pdf.pdf" TargetMode="External"/><Relationship Id="rId512" Type="http://schemas.openxmlformats.org/officeDocument/2006/relationships/hyperlink" Target="https://www.sec.gov/Archives/edgar/data/86312/000008631223000011/0000086312-23-000011-index.htm" TargetMode="External"/><Relationship Id="rId513" Type="http://schemas.openxmlformats.org/officeDocument/2006/relationships/hyperlink" Target="https://s26.q4cdn.com/410417801/files/doc_financials/2022/ar/B/Travelers-2022-Annual-Report-pdf.pdf" TargetMode="External"/><Relationship Id="rId514" Type="http://schemas.openxmlformats.org/officeDocument/2006/relationships/hyperlink" Target="https://www.sec.gov/Archives/edgar/data/86312/000008631223000011/0000086312-23-000011-index.htm" TargetMode="External"/><Relationship Id="rId515" Type="http://schemas.openxmlformats.org/officeDocument/2006/relationships/hyperlink" Target="https://s26.q4cdn.com/410417801/files/doc_financials/2022/ar/B/Travelers-2022-Annual-Report-pdf.pdf" TargetMode="External"/><Relationship Id="rId516" Type="http://schemas.openxmlformats.org/officeDocument/2006/relationships/hyperlink" Target="https://www.sec.gov/Archives/edgar/data/86312/000008631223000011/0000086312-23-000011-index.htm" TargetMode="External"/><Relationship Id="rId517" Type="http://schemas.openxmlformats.org/officeDocument/2006/relationships/hyperlink" Target="https://s26.q4cdn.com/410417801/files/doc_financials/2022/ar/B/Travelers-2022-Annual-Report-pdf.pdf" TargetMode="External"/><Relationship Id="rId518" Type="http://schemas.openxmlformats.org/officeDocument/2006/relationships/hyperlink" Target="https://www.sec.gov/Archives/edgar/data/86312/000008631223000011/0000086312-23-000011-index.htm" TargetMode="External"/><Relationship Id="rId519" Type="http://schemas.openxmlformats.org/officeDocument/2006/relationships/hyperlink" Target="https://s26.q4cdn.com/410417801/files/doc_financials/2022/ar/B/Travelers-2022-Annual-Report-pdf.pdf" TargetMode="External"/><Relationship Id="rId520" Type="http://schemas.openxmlformats.org/officeDocument/2006/relationships/hyperlink" Target="https://www.sec.gov/Archives/edgar/data/86312/000008631223000011/0000086312-23-000011-index.htm" TargetMode="External"/><Relationship Id="rId521" Type="http://schemas.openxmlformats.org/officeDocument/2006/relationships/hyperlink" Target="https://s26.q4cdn.com/410417801/files/doc_financials/2022/ar/B/Travelers-2022-Annual-Report-pdf.pdf" TargetMode="External"/><Relationship Id="rId522" Type="http://schemas.openxmlformats.org/officeDocument/2006/relationships/hyperlink" Target="https://www.sec.gov/Archives/edgar/data/86312/000008631223000011/0000086312-23-000011-index.htm" TargetMode="External"/><Relationship Id="rId523" Type="http://schemas.openxmlformats.org/officeDocument/2006/relationships/hyperlink" Target="https://s26.q4cdn.com/410417801/files/doc_financials/2022/ar/B/Travelers-2022-Annual-Report-pdf.pdf" TargetMode="External"/><Relationship Id="rId524" Type="http://schemas.openxmlformats.org/officeDocument/2006/relationships/hyperlink" Target="https://www.sec.gov/Archives/edgar/data/86312/000008631223000011/0000086312-23-000011-index.htm" TargetMode="External"/><Relationship Id="rId525" Type="http://schemas.openxmlformats.org/officeDocument/2006/relationships/hyperlink" Target="https://s26.q4cdn.com/410417801/files/doc_financials/2022/ar/B/Travelers-2022-Annual-Report-pdf.pdf" TargetMode="External"/><Relationship Id="rId526" Type="http://schemas.openxmlformats.org/officeDocument/2006/relationships/hyperlink" Target="https://www.sec.gov/Archives/edgar/data/86312/000008631223000011/0000086312-23-000011-index.htm" TargetMode="External"/><Relationship Id="rId527" Type="http://schemas.openxmlformats.org/officeDocument/2006/relationships/hyperlink" Target="https://s26.q4cdn.com/410417801/files/doc_financials/2022/ar/B/Travelers-2022-Annual-Report-pdf.pdf" TargetMode="External"/><Relationship Id="rId528" Type="http://schemas.openxmlformats.org/officeDocument/2006/relationships/hyperlink" Target="https://www.sec.gov/Archives/edgar/data/86312/000008631223000011/0000086312-23-000011-index.htm" TargetMode="External"/><Relationship Id="rId529" Type="http://schemas.openxmlformats.org/officeDocument/2006/relationships/hyperlink" Target="https://s26.q4cdn.com/410417801/files/doc_financials/2022/ar/B/Travelers-2022-Annual-Report-pdf.pdf" TargetMode="External"/><Relationship Id="rId530" Type="http://schemas.openxmlformats.org/officeDocument/2006/relationships/hyperlink" Target="https://www.sec.gov/Archives/edgar/data/86312/000008631223000011/0000086312-23-000011-index.htm" TargetMode="External"/><Relationship Id="rId531" Type="http://schemas.openxmlformats.org/officeDocument/2006/relationships/hyperlink" Target="https://s26.q4cdn.com/410417801/files/doc_financials/2022/ar/B/Travelers-2022-Annual-Report-pdf.pdf" TargetMode="External"/><Relationship Id="rId532" Type="http://schemas.openxmlformats.org/officeDocument/2006/relationships/hyperlink" Target="https://www.sec.gov/Archives/edgar/data/86312/000008631223000011/0000086312-23-000011-index.htm" TargetMode="External"/><Relationship Id="rId533" Type="http://schemas.openxmlformats.org/officeDocument/2006/relationships/hyperlink" Target="https://s26.q4cdn.com/410417801/files/doc_financials/2022/ar/B/Travelers-2022-Annual-Report-pdf.pdf" TargetMode="External"/><Relationship Id="rId534" Type="http://schemas.openxmlformats.org/officeDocument/2006/relationships/hyperlink" Target="https://www.sec.gov/Archives/edgar/data/86312/000008631223000011/0000086312-23-000011-index.htm" TargetMode="External"/><Relationship Id="rId535" Type="http://schemas.openxmlformats.org/officeDocument/2006/relationships/hyperlink" Target="https://s26.q4cdn.com/410417801/files/doc_financials/2022/ar/B/Travelers-2022-Annual-Report-pdf.pdf" TargetMode="External"/><Relationship Id="rId536" Type="http://schemas.openxmlformats.org/officeDocument/2006/relationships/hyperlink" Target="https://www.sec.gov/Archives/edgar/data/86312/000008631223000011/0000086312-23-000011-index.htm" TargetMode="External"/><Relationship Id="rId537" Type="http://schemas.openxmlformats.org/officeDocument/2006/relationships/hyperlink" Target="https://s26.q4cdn.com/410417801/files/doc_financials/2022/ar/B/Travelers-2022-Annual-Report-pdf.pdf" TargetMode="External"/><Relationship Id="rId538" Type="http://schemas.openxmlformats.org/officeDocument/2006/relationships/hyperlink" Target="https://www.sec.gov/Archives/edgar/data/86312/000008631223000011/0000086312-23-000011-index.htm" TargetMode="External"/><Relationship Id="rId539" Type="http://schemas.openxmlformats.org/officeDocument/2006/relationships/hyperlink" Target="https://s26.q4cdn.com/410417801/files/doc_financials/2022/ar/B/Travelers-2022-Annual-Report-pdf.pdf" TargetMode="External"/><Relationship Id="rId540" Type="http://schemas.openxmlformats.org/officeDocument/2006/relationships/hyperlink" Target="https://www.sec.gov/Archives/edgar/data/86312/000008631223000011/0000086312-23-000011-index.htm" TargetMode="External"/><Relationship Id="rId541" Type="http://schemas.openxmlformats.org/officeDocument/2006/relationships/hyperlink" Target="https://s26.q4cdn.com/410417801/files/doc_financials/2022/ar/B/Travelers-2022-Annual-Report-pdf.pdf" TargetMode="External"/><Relationship Id="rId542" Type="http://schemas.openxmlformats.org/officeDocument/2006/relationships/hyperlink" Target="https://www.sec.gov/Archives/edgar/data/86312/000008631223000011/0000086312-23-000011-index.htm" TargetMode="External"/><Relationship Id="rId543" Type="http://schemas.openxmlformats.org/officeDocument/2006/relationships/hyperlink" Target="https://s26.q4cdn.com/410417801/files/doc_financials/2023/ar/Travelers-2023-Annual__Report.pdf" TargetMode="External"/><Relationship Id="rId544" Type="http://schemas.openxmlformats.org/officeDocument/2006/relationships/hyperlink" Target="https://www.sec.gov/Archives/edgar/data/86312/000008631224000012/0000086312-24-000012-index.htm" TargetMode="External"/><Relationship Id="rId545" Type="http://schemas.openxmlformats.org/officeDocument/2006/relationships/hyperlink" Target="https://s26.q4cdn.com/410417801/files/doc_financials/2023/ar/Travelers-2023-Annual__Report.pdf" TargetMode="External"/><Relationship Id="rId546" Type="http://schemas.openxmlformats.org/officeDocument/2006/relationships/hyperlink" Target="https://www.sec.gov/Archives/edgar/data/86312/000008631224000012/0000086312-24-000012-index.htm" TargetMode="External"/><Relationship Id="rId547" Type="http://schemas.openxmlformats.org/officeDocument/2006/relationships/hyperlink" Target="https://s26.q4cdn.com/410417801/files/doc_financials/2023/ar/Travelers-2023-Annual__Report.pdf" TargetMode="External"/><Relationship Id="rId548" Type="http://schemas.openxmlformats.org/officeDocument/2006/relationships/hyperlink" Target="https://www.sec.gov/Archives/edgar/data/86312/000008631224000012/0000086312-24-000012-index.htm" TargetMode="External"/><Relationship Id="rId549" Type="http://schemas.openxmlformats.org/officeDocument/2006/relationships/hyperlink" Target="https://s26.q4cdn.com/410417801/files/doc_financials/2023/ar/Travelers-2023-Annual__Report.pdf" TargetMode="External"/><Relationship Id="rId550" Type="http://schemas.openxmlformats.org/officeDocument/2006/relationships/hyperlink" Target="https://www.sec.gov/Archives/edgar/data/86312/000008631224000012/0000086312-24-000012-index.htm" TargetMode="External"/><Relationship Id="rId551" Type="http://schemas.openxmlformats.org/officeDocument/2006/relationships/hyperlink" Target="https://s26.q4cdn.com/410417801/files/doc_financials/2022/ar/B/Travelers-2022-Annual-Report-pdf.pdf" TargetMode="External"/><Relationship Id="rId552" Type="http://schemas.openxmlformats.org/officeDocument/2006/relationships/hyperlink" Target="https://www.sec.gov/Archives/edgar/data/86312/000008631223000011/0000086312-23-000011-index.htm" TargetMode="External"/><Relationship Id="rId553" Type="http://schemas.openxmlformats.org/officeDocument/2006/relationships/hyperlink" Target="https://s26.q4cdn.com/410417801/files/doc_financials/2022/ar/B/Travelers-2022-Annual-Report-pdf.pdf" TargetMode="External"/><Relationship Id="rId554" Type="http://schemas.openxmlformats.org/officeDocument/2006/relationships/hyperlink" Target="https://www.sec.gov/Archives/edgar/data/86312/000008631223000011/0000086312-23-000011-index.htm" TargetMode="External"/><Relationship Id="rId555" Type="http://schemas.openxmlformats.org/officeDocument/2006/relationships/hyperlink" Target="https://s26.q4cdn.com/410417801/files/doc_financials/2022/ar/B/Travelers-2022-Annual-Report-pdf.pdf" TargetMode="External"/><Relationship Id="rId556" Type="http://schemas.openxmlformats.org/officeDocument/2006/relationships/hyperlink" Target="https://www.sec.gov/Archives/edgar/data/86312/000008631223000011/0000086312-23-000011-index.htm" TargetMode="External"/><Relationship Id="rId557" Type="http://schemas.openxmlformats.org/officeDocument/2006/relationships/hyperlink" Target="https://s26.q4cdn.com/410417801/files/doc_financials/2022/ar/B/Travelers-2022-Annual-Report-pdf.pdf" TargetMode="External"/><Relationship Id="rId558" Type="http://schemas.openxmlformats.org/officeDocument/2006/relationships/hyperlink" Target="https://www.sec.gov/Archives/edgar/data/86312/000008631223000011/0000086312-23-000011-index.htm" TargetMode="External"/><Relationship Id="rId559" Type="http://schemas.openxmlformats.org/officeDocument/2006/relationships/hyperlink" Target="https://s26.q4cdn.com/410417801/files/doc_financials/2022/ar/B/Travelers-2022-Annual-Report-pdf.pdf" TargetMode="External"/><Relationship Id="rId560" Type="http://schemas.openxmlformats.org/officeDocument/2006/relationships/hyperlink" Target="https://www.sec.gov/Archives/edgar/data/86312/000008631223000011/0000086312-23-000011-index.htm" TargetMode="External"/><Relationship Id="rId561" Type="http://schemas.openxmlformats.org/officeDocument/2006/relationships/hyperlink" Target="https://s26.q4cdn.com/410417801/files/doc_financials/2022/ar/B/Travelers-2022-Annual-Report-pdf.pdf" TargetMode="External"/><Relationship Id="rId562" Type="http://schemas.openxmlformats.org/officeDocument/2006/relationships/hyperlink" Target="https://www.sec.gov/Archives/edgar/data/86312/000008631223000011/0000086312-23-000011-index.htm" TargetMode="External"/><Relationship Id="rId563" Type="http://schemas.openxmlformats.org/officeDocument/2006/relationships/hyperlink" Target="https://s26.q4cdn.com/410417801/files/doc_financials/2023/ar/Travelers-2023-Annual__Report.pdf" TargetMode="External"/><Relationship Id="rId564" Type="http://schemas.openxmlformats.org/officeDocument/2006/relationships/hyperlink" Target="https://www.sec.gov/Archives/edgar/data/86312/000008631224000012/0000086312-24-000012-index.htm" TargetMode="External"/><Relationship Id="rId565" Type="http://schemas.openxmlformats.org/officeDocument/2006/relationships/hyperlink" Target="https://s26.q4cdn.com/410417801/files/doc_financials/2022/ar/B/Travelers-2022-Annual-Report-pdf.pdf" TargetMode="External"/><Relationship Id="rId566" Type="http://schemas.openxmlformats.org/officeDocument/2006/relationships/hyperlink" Target="https://www.sec.gov/Archives/edgar/data/86312/000008631223000011/0000086312-23-000011-index.htm" TargetMode="External"/><Relationship Id="rId567" Type="http://schemas.openxmlformats.org/officeDocument/2006/relationships/hyperlink" Target="https://s26.q4cdn.com/410417801/files/doc_financials/2022/ar/B/Travelers-2022-Annual-Report-pdf.pdf" TargetMode="External"/><Relationship Id="rId568" Type="http://schemas.openxmlformats.org/officeDocument/2006/relationships/hyperlink" Target="https://www.sec.gov/Archives/edgar/data/86312/000008631223000011/0000086312-23-000011-index.htm" TargetMode="External"/><Relationship Id="rId569" Type="http://schemas.openxmlformats.org/officeDocument/2006/relationships/hyperlink" Target="https://s26.q4cdn.com/410417801/files/doc_financials/2022/ar/B/Travelers-2022-Annual-Report-pdf.pdf" TargetMode="External"/><Relationship Id="rId570" Type="http://schemas.openxmlformats.org/officeDocument/2006/relationships/hyperlink" Target="https://www.sec.gov/Archives/edgar/data/86312/000008631223000011/0000086312-23-000011-index.htm" TargetMode="External"/><Relationship Id="rId571" Type="http://schemas.openxmlformats.org/officeDocument/2006/relationships/hyperlink" Target="https://s26.q4cdn.com/410417801/files/doc_financials/2022/ar/B/Travelers-2022-Annual-Report-pdf.pdf" TargetMode="External"/><Relationship Id="rId572" Type="http://schemas.openxmlformats.org/officeDocument/2006/relationships/hyperlink" Target="https://www.sec.gov/Archives/edgar/data/86312/000008631223000011/0000086312-23-000011-index.htm" TargetMode="External"/><Relationship Id="rId573" Type="http://schemas.openxmlformats.org/officeDocument/2006/relationships/hyperlink" Target="https://s26.q4cdn.com/410417801/files/doc_financials/2022/ar/B/Travelers-2022-Annual-Report-pdf.pdf" TargetMode="External"/><Relationship Id="rId574" Type="http://schemas.openxmlformats.org/officeDocument/2006/relationships/hyperlink" Target="https://www.sec.gov/Archives/edgar/data/86312/000008631223000011/0000086312-23-000011-index.htm" TargetMode="External"/><Relationship Id="rId575" Type="http://schemas.openxmlformats.org/officeDocument/2006/relationships/hyperlink" Target="https://s26.q4cdn.com/410417801/files/doc_financials/2022/ar/B/Travelers-2022-Annual-Report-pdf.pdf" TargetMode="External"/><Relationship Id="rId576" Type="http://schemas.openxmlformats.org/officeDocument/2006/relationships/hyperlink" Target="https://www.sec.gov/Archives/edgar/data/86312/000008631223000011/0000086312-23-000011-index.htm" TargetMode="External"/><Relationship Id="rId577" Type="http://schemas.openxmlformats.org/officeDocument/2006/relationships/hyperlink" Target="https://s26.q4cdn.com/410417801/files/doc_financials/2022/ar/B/Travelers-2022-Annual-Report-pdf.pdf" TargetMode="External"/><Relationship Id="rId578" Type="http://schemas.openxmlformats.org/officeDocument/2006/relationships/hyperlink" Target="https://www.sec.gov/Archives/edgar/data/86312/000008631223000011/0000086312-23-000011-index.htm" TargetMode="External"/><Relationship Id="rId579" Type="http://schemas.openxmlformats.org/officeDocument/2006/relationships/hyperlink" Target="https://s26.q4cdn.com/410417801/files/doc_financials/2022/ar/B/Travelers-2022-Annual-Report-pdf.pdf" TargetMode="External"/><Relationship Id="rId580" Type="http://schemas.openxmlformats.org/officeDocument/2006/relationships/hyperlink" Target="https://www.sec.gov/Archives/edgar/data/86312/000008631223000011/0000086312-23-000011-index.htm" TargetMode="External"/><Relationship Id="rId581" Type="http://schemas.openxmlformats.org/officeDocument/2006/relationships/hyperlink" Target="https://s26.q4cdn.com/410417801/files/doc_financials/2022/ar/B/Travelers-2022-Annual-Report-pdf.pdf" TargetMode="External"/><Relationship Id="rId582" Type="http://schemas.openxmlformats.org/officeDocument/2006/relationships/hyperlink" Target="https://www.sec.gov/Archives/edgar/data/86312/000008631223000011/0000086312-23-000011-index.htm" TargetMode="External"/><Relationship Id="rId583" Type="http://schemas.openxmlformats.org/officeDocument/2006/relationships/hyperlink" Target="https://s26.q4cdn.com/410417801/files/doc_financials/2022/ar/B/Travelers-2022-Annual-Report-pdf.pdf" TargetMode="External"/><Relationship Id="rId584" Type="http://schemas.openxmlformats.org/officeDocument/2006/relationships/hyperlink" Target="https://www.sec.gov/Archives/edgar/data/86312/000008631223000011/0000086312-23-000011-index.htm" TargetMode="External"/><Relationship Id="rId585" Type="http://schemas.openxmlformats.org/officeDocument/2006/relationships/hyperlink" Target="https://s26.q4cdn.com/410417801/files/doc_financials/2022/ar/B/Travelers-2022-Annual-Report-pdf.pdf" TargetMode="External"/><Relationship Id="rId586" Type="http://schemas.openxmlformats.org/officeDocument/2006/relationships/hyperlink" Target="https://www.sec.gov/Archives/edgar/data/86312/000008631223000011/0000086312-23-000011-index.htm" TargetMode="External"/><Relationship Id="rId587" Type="http://schemas.openxmlformats.org/officeDocument/2006/relationships/hyperlink" Target="https://s26.q4cdn.com/410417801/files/doc_financials/2022/ar/B/Travelers-2022-Annual-Report-pdf.pdf" TargetMode="External"/><Relationship Id="rId588" Type="http://schemas.openxmlformats.org/officeDocument/2006/relationships/hyperlink" Target="https://www.sec.gov/Archives/edgar/data/86312/000008631223000011/0000086312-23-000011-index.htm" TargetMode="External"/><Relationship Id="rId589" Type="http://schemas.openxmlformats.org/officeDocument/2006/relationships/hyperlink" Target="https://s26.q4cdn.com/410417801/files/doc_financials/2022/ar/B/Travelers-2022-Annual-Report-pdf.pdf" TargetMode="External"/><Relationship Id="rId590" Type="http://schemas.openxmlformats.org/officeDocument/2006/relationships/hyperlink" Target="https://www.sec.gov/Archives/edgar/data/86312/000008631223000011/0000086312-23-000011-index.htm" TargetMode="External"/><Relationship Id="rId591" Type="http://schemas.openxmlformats.org/officeDocument/2006/relationships/hyperlink" Target="https://s26.q4cdn.com/410417801/files/doc_financials/2022/ar/B/Travelers-2022-Annual-Report-pdf.pdf" TargetMode="External"/><Relationship Id="rId592" Type="http://schemas.openxmlformats.org/officeDocument/2006/relationships/hyperlink" Target="https://www.sec.gov/Archives/edgar/data/86312/000008631223000011/0000086312-23-000011-index.htm" TargetMode="External"/><Relationship Id="rId593" Type="http://schemas.openxmlformats.org/officeDocument/2006/relationships/hyperlink" Target="https://s26.q4cdn.com/410417801/files/doc_financials/2022/ar/B/Travelers-2022-Annual-Report-pdf.pdf" TargetMode="External"/><Relationship Id="rId594" Type="http://schemas.openxmlformats.org/officeDocument/2006/relationships/hyperlink" Target="https://www.sec.gov/Archives/edgar/data/86312/000008631223000011/0000086312-23-000011-index.htm" TargetMode="External"/><Relationship Id="rId595" Type="http://schemas.openxmlformats.org/officeDocument/2006/relationships/hyperlink" Target="https://s26.q4cdn.com/410417801/files/doc_financials/2022/ar/B/Travelers-2022-Annual-Report-pdf.pdf" TargetMode="External"/><Relationship Id="rId596" Type="http://schemas.openxmlformats.org/officeDocument/2006/relationships/hyperlink" Target="https://www.sec.gov/Archives/edgar/data/86312/000008631223000011/0000086312-23-000011-index.htm" TargetMode="External"/><Relationship Id="rId597" Type="http://schemas.openxmlformats.org/officeDocument/2006/relationships/hyperlink" Target="https://s26.q4cdn.com/410417801/files/doc_financials/2022/ar/B/Travelers-2022-Annual-Report-pdf.pdf" TargetMode="External"/><Relationship Id="rId598" Type="http://schemas.openxmlformats.org/officeDocument/2006/relationships/hyperlink" Target="https://www.sec.gov/Archives/edgar/data/86312/000008631223000011/0000086312-23-000011-index.htm" TargetMode="External"/><Relationship Id="rId599" Type="http://schemas.openxmlformats.org/officeDocument/2006/relationships/hyperlink" Target="https://s26.q4cdn.com/410417801/files/doc_financials/2022/ar/B/Travelers-2022-Annual-Report-pdf.pdf" TargetMode="External"/><Relationship Id="rId600" Type="http://schemas.openxmlformats.org/officeDocument/2006/relationships/hyperlink" Target="https://www.sec.gov/Archives/edgar/data/86312/000008631223000011/0000086312-23-000011-index.htm" TargetMode="External"/><Relationship Id="rId601" Type="http://schemas.openxmlformats.org/officeDocument/2006/relationships/hyperlink" Target="https://s26.q4cdn.com/410417801/files/doc_financials/2022/ar/B/Travelers-2022-Annual-Report-pdf.pdf" TargetMode="External"/><Relationship Id="rId602" Type="http://schemas.openxmlformats.org/officeDocument/2006/relationships/hyperlink" Target="https://www.sec.gov/Archives/edgar/data/86312/000008631223000011/0000086312-23-000011-index.htm" TargetMode="External"/><Relationship Id="rId603" Type="http://schemas.openxmlformats.org/officeDocument/2006/relationships/hyperlink" Target="https://s26.q4cdn.com/410417801/files/doc_financials/2022/ar/B/Travelers-2022-Annual-Report-pdf.pdf" TargetMode="External"/><Relationship Id="rId604" Type="http://schemas.openxmlformats.org/officeDocument/2006/relationships/hyperlink" Target="https://www.sec.gov/Archives/edgar/data/86312/000008631223000011/0000086312-23-000011-index.htm" TargetMode="External"/><Relationship Id="rId605" Type="http://schemas.openxmlformats.org/officeDocument/2006/relationships/hyperlink" Target="https://s26.q4cdn.com/410417801/files/doc_financials/2023/ar/Travelers-2023-Annual__Report.pdf" TargetMode="External"/><Relationship Id="rId606" Type="http://schemas.openxmlformats.org/officeDocument/2006/relationships/hyperlink" Target="https://www.sec.gov/Archives/edgar/data/86312/000008631224000012/0000086312-24-000012-index.htm" TargetMode="External"/><Relationship Id="rId607" Type="http://schemas.openxmlformats.org/officeDocument/2006/relationships/hyperlink" Target="https://s26.q4cdn.com/410417801/files/doc_financials/2022/ar/B/Travelers-2022-Annual-Report-pdf.pdf" TargetMode="External"/><Relationship Id="rId608" Type="http://schemas.openxmlformats.org/officeDocument/2006/relationships/hyperlink" Target="https://www.sec.gov/Archives/edgar/data/86312/000008631223000011/0000086312-23-000011-index.htm" TargetMode="External"/><Relationship Id="rId609" Type="http://schemas.openxmlformats.org/officeDocument/2006/relationships/hyperlink" Target="https://s26.q4cdn.com/410417801/files/doc_financials/2023/ar/Travelers-2023-Annual__Report.pdf" TargetMode="External"/><Relationship Id="rId610" Type="http://schemas.openxmlformats.org/officeDocument/2006/relationships/hyperlink" Target="https://www.sec.gov/Archives/edgar/data/86312/000008631224000012/0000086312-24-000012-index.htm" TargetMode="External"/><Relationship Id="rId611" Type="http://schemas.openxmlformats.org/officeDocument/2006/relationships/hyperlink" Target="https://s26.q4cdn.com/410417801/files/doc_financials/2022/ar/B/Travelers-2022-Annual-Report-pdf.pdf" TargetMode="External"/><Relationship Id="rId612" Type="http://schemas.openxmlformats.org/officeDocument/2006/relationships/hyperlink" Target="https://www.sec.gov/Archives/edgar/data/86312/000008631223000011/0000086312-23-000011-index.htm" TargetMode="External"/><Relationship Id="rId613" Type="http://schemas.openxmlformats.org/officeDocument/2006/relationships/hyperlink" Target="https://s26.q4cdn.com/410417801/files/doc_financials/2022/ar/B/Travelers-2022-Annual-Report-pdf.pdf" TargetMode="External"/><Relationship Id="rId614" Type="http://schemas.openxmlformats.org/officeDocument/2006/relationships/hyperlink" Target="https://www.sec.gov/Archives/edgar/data/86312/000008631223000011/0000086312-23-000011-index.htm" TargetMode="External"/><Relationship Id="rId615" Type="http://schemas.openxmlformats.org/officeDocument/2006/relationships/hyperlink" Target="https://s26.q4cdn.com/410417801/files/doc_financials/2023/ar/Travelers-2023-Annual__Report.pdf" TargetMode="External"/><Relationship Id="rId616" Type="http://schemas.openxmlformats.org/officeDocument/2006/relationships/hyperlink" Target="https://www.sec.gov/Archives/edgar/data/86312/000008631224000012/0000086312-24-000012-index.htm" TargetMode="External"/><Relationship Id="rId617" Type="http://schemas.openxmlformats.org/officeDocument/2006/relationships/hyperlink" Target="https://s26.q4cdn.com/410417801/files/doc_financials/2022/ar/B/Travelers-2022-Annual-Report-pdf.pdf" TargetMode="External"/><Relationship Id="rId618" Type="http://schemas.openxmlformats.org/officeDocument/2006/relationships/hyperlink" Target="https://www.sec.gov/Archives/edgar/data/86312/000008631223000011/0000086312-23-000011-index.htm" TargetMode="External"/><Relationship Id="rId619" Type="http://schemas.openxmlformats.org/officeDocument/2006/relationships/hyperlink" Target="https://s26.q4cdn.com/410417801/files/doc_financials/2022/ar/B/Travelers-2022-Annual-Report-pdf.pdf" TargetMode="External"/><Relationship Id="rId620" Type="http://schemas.openxmlformats.org/officeDocument/2006/relationships/hyperlink" Target="https://www.sec.gov/Archives/edgar/data/86312/000008631223000011/0000086312-23-000011-index.htm" TargetMode="External"/><Relationship Id="rId621" Type="http://schemas.openxmlformats.org/officeDocument/2006/relationships/hyperlink" Target="https://s26.q4cdn.com/410417801/files/doc_financials/2022/ar/B/Travelers-2022-Annual-Report-pdf.pdf" TargetMode="External"/><Relationship Id="rId622" Type="http://schemas.openxmlformats.org/officeDocument/2006/relationships/hyperlink" Target="https://www.sec.gov/Archives/edgar/data/86312/000008631223000011/0000086312-23-000011-index.htm" TargetMode="External"/><Relationship Id="rId623" Type="http://schemas.openxmlformats.org/officeDocument/2006/relationships/hyperlink" Target="https://s26.q4cdn.com/410417801/files/doc_financials/2022/ar/B/Travelers-2022-Annual-Report-pdf.pdf" TargetMode="External"/><Relationship Id="rId624" Type="http://schemas.openxmlformats.org/officeDocument/2006/relationships/hyperlink" Target="https://www.sec.gov/Archives/edgar/data/86312/000008631223000011/0000086312-23-000011-index.htm" TargetMode="External"/><Relationship Id="rId625" Type="http://schemas.openxmlformats.org/officeDocument/2006/relationships/hyperlink" Target="https://s26.q4cdn.com/410417801/files/doc_financials/2023/ar/Travelers-2023-Annual__Report.pdf" TargetMode="External"/><Relationship Id="rId626" Type="http://schemas.openxmlformats.org/officeDocument/2006/relationships/hyperlink" Target="https://www.sec.gov/Archives/edgar/data/86312/000008631224000012/0000086312-24-000012-index.htm" TargetMode="External"/><Relationship Id="rId627" Type="http://schemas.openxmlformats.org/officeDocument/2006/relationships/hyperlink" Target="https://s26.q4cdn.com/410417801/files/doc_financials/2022/ar/B/Travelers-2022-Annual-Report-pdf.pdf" TargetMode="External"/><Relationship Id="rId628" Type="http://schemas.openxmlformats.org/officeDocument/2006/relationships/hyperlink" Target="https://www.sec.gov/Archives/edgar/data/86312/000008631223000011/0000086312-23-000011-index.htm" TargetMode="External"/><Relationship Id="rId629" Type="http://schemas.openxmlformats.org/officeDocument/2006/relationships/hyperlink" Target="https://s26.q4cdn.com/410417801/files/doc_financials/2022/ar/B/Travelers-2022-Annual-Report-pdf.pdf" TargetMode="External"/><Relationship Id="rId630" Type="http://schemas.openxmlformats.org/officeDocument/2006/relationships/hyperlink" Target="https://www.sec.gov/Archives/edgar/data/86312/000008631223000011/0000086312-23-000011-index.htm" TargetMode="External"/><Relationship Id="rId631" Type="http://schemas.openxmlformats.org/officeDocument/2006/relationships/hyperlink" Target="https://s26.q4cdn.com/410417801/files/doc_financials/2022/ar/B/Travelers-2022-Annual-Report-pdf.pdf" TargetMode="External"/><Relationship Id="rId632" Type="http://schemas.openxmlformats.org/officeDocument/2006/relationships/hyperlink" Target="https://www.sec.gov/Archives/edgar/data/86312/000008631223000011/0000086312-23-000011-index.htm" TargetMode="External"/><Relationship Id="rId633" Type="http://schemas.openxmlformats.org/officeDocument/2006/relationships/hyperlink" Target="https://s26.q4cdn.com/410417801/files/doc_financials/2023/ar/Travelers-2023-Annual__Report.pdf" TargetMode="External"/><Relationship Id="rId634" Type="http://schemas.openxmlformats.org/officeDocument/2006/relationships/hyperlink" Target="https://www.sec.gov/Archives/edgar/data/86312/000008631224000012/0000086312-24-000012-index.htm" TargetMode="External"/><Relationship Id="rId635" Type="http://schemas.openxmlformats.org/officeDocument/2006/relationships/hyperlink" Target="https://s26.q4cdn.com/410417801/files/doc_financials/2022/ar/B/Travelers-2022-Annual-Report-pdf.pdf" TargetMode="External"/><Relationship Id="rId636" Type="http://schemas.openxmlformats.org/officeDocument/2006/relationships/hyperlink" Target="https://www.sec.gov/Archives/edgar/data/86312/000008631223000011/0000086312-23-000011-index.htm" TargetMode="External"/><Relationship Id="rId637" Type="http://schemas.openxmlformats.org/officeDocument/2006/relationships/hyperlink" Target="https://s26.q4cdn.com/410417801/files/doc_financials/2022/ar/B/Travelers-2022-Annual-Report-pdf.pdf" TargetMode="External"/><Relationship Id="rId638" Type="http://schemas.openxmlformats.org/officeDocument/2006/relationships/hyperlink" Target="https://www.sec.gov/Archives/edgar/data/86312/000008631223000011/0000086312-23-000011-index.htm" TargetMode="External"/><Relationship Id="rId639" Type="http://schemas.openxmlformats.org/officeDocument/2006/relationships/hyperlink" Target="https://s26.q4cdn.com/410417801/files/doc_financials/2022/ar/B/Travelers-2022-Annual-Report-pdf.pdf" TargetMode="External"/><Relationship Id="rId640" Type="http://schemas.openxmlformats.org/officeDocument/2006/relationships/hyperlink" Target="https://www.sec.gov/Archives/edgar/data/86312/000008631223000011/0000086312-23-000011-index.htm" TargetMode="External"/><Relationship Id="rId641" Type="http://schemas.openxmlformats.org/officeDocument/2006/relationships/hyperlink" Target="https://s26.q4cdn.com/410417801/files/doc_financials/2023/ar/Travelers-2023-Annual__Report.pdf" TargetMode="External"/><Relationship Id="rId642" Type="http://schemas.openxmlformats.org/officeDocument/2006/relationships/hyperlink" Target="https://www.sec.gov/Archives/edgar/data/86312/000008631224000012/0000086312-24-000012-index.htm" TargetMode="External"/><Relationship Id="rId643" Type="http://schemas.openxmlformats.org/officeDocument/2006/relationships/hyperlink" Target="https://s26.q4cdn.com/410417801/files/doc_financials/2022/ar/B/Travelers-2022-Annual-Report-pdf.pdf" TargetMode="External"/><Relationship Id="rId644" Type="http://schemas.openxmlformats.org/officeDocument/2006/relationships/hyperlink" Target="https://www.sec.gov/Archives/edgar/data/86312/000008631223000011/0000086312-23-000011-index.htm" TargetMode="External"/><Relationship Id="rId645" Type="http://schemas.openxmlformats.org/officeDocument/2006/relationships/hyperlink" Target="https://s26.q4cdn.com/410417801/files/doc_financials/2023/ar/Travelers-2023-Annual__Report.pdf" TargetMode="External"/><Relationship Id="rId646" Type="http://schemas.openxmlformats.org/officeDocument/2006/relationships/hyperlink" Target="https://www.sec.gov/Archives/edgar/data/86312/000008631224000012/0000086312-24-000012-index.htm" TargetMode="External"/><Relationship Id="rId647" Type="http://schemas.openxmlformats.org/officeDocument/2006/relationships/hyperlink" Target="https://s26.q4cdn.com/410417801/files/doc_financials/2023/ar/Travelers-2023-Annual__Report.pdf" TargetMode="External"/><Relationship Id="rId648" Type="http://schemas.openxmlformats.org/officeDocument/2006/relationships/hyperlink" Target="https://www.sec.gov/Archives/edgar/data/86312/000008631224000012/0000086312-24-000012-index.htm" TargetMode="External"/><Relationship Id="rId649" Type="http://schemas.openxmlformats.org/officeDocument/2006/relationships/hyperlink" Target="https://s26.q4cdn.com/410417801/files/doc_financials/2022/ar/B/Travelers-2022-Annual-Report-pdf.pdf" TargetMode="External"/><Relationship Id="rId650" Type="http://schemas.openxmlformats.org/officeDocument/2006/relationships/hyperlink" Target="https://www.sec.gov/Archives/edgar/data/86312/000008631223000011/0000086312-23-000011-index.htm" TargetMode="External"/><Relationship Id="rId651" Type="http://schemas.openxmlformats.org/officeDocument/2006/relationships/hyperlink" Target="https://s26.q4cdn.com/410417801/files/doc_financials/2022/ar/B/Travelers-2022-Annual-Report-pdf.pdf" TargetMode="External"/><Relationship Id="rId652" Type="http://schemas.openxmlformats.org/officeDocument/2006/relationships/hyperlink" Target="https://www.sec.gov/Archives/edgar/data/86312/000008631223000011/0000086312-23-000011-index.htm" TargetMode="External"/><Relationship Id="rId653" Type="http://schemas.openxmlformats.org/officeDocument/2006/relationships/hyperlink" Target="https://s26.q4cdn.com/410417801/files/doc_financials/2022/ar/B/Travelers-2022-Annual-Report-pdf.pdf" TargetMode="External"/><Relationship Id="rId654" Type="http://schemas.openxmlformats.org/officeDocument/2006/relationships/hyperlink" Target="https://www.sec.gov/Archives/edgar/data/86312/000008631223000011/0000086312-23-000011-index.htm" TargetMode="External"/><Relationship Id="rId655" Type="http://schemas.openxmlformats.org/officeDocument/2006/relationships/hyperlink" Target="https://s26.q4cdn.com/410417801/files/doc_financials/2022/ar/B/Travelers-2022-Annual-Report-pdf.pdf" TargetMode="External"/><Relationship Id="rId656" Type="http://schemas.openxmlformats.org/officeDocument/2006/relationships/hyperlink" Target="https://www.sec.gov/Archives/edgar/data/86312/000008631223000011/0000086312-23-000011-index.htm" TargetMode="External"/><Relationship Id="rId657" Type="http://schemas.openxmlformats.org/officeDocument/2006/relationships/hyperlink" Target="https://s26.q4cdn.com/410417801/files/doc_financials/2022/ar/B/Travelers-2022-Annual-Report-pdf.pdf" TargetMode="External"/><Relationship Id="rId658" Type="http://schemas.openxmlformats.org/officeDocument/2006/relationships/hyperlink" Target="https://www.sec.gov/Archives/edgar/data/86312/000008631223000011/0000086312-23-000011-index.htm" TargetMode="External"/><Relationship Id="rId659" Type="http://schemas.openxmlformats.org/officeDocument/2006/relationships/hyperlink" Target="https://s26.q4cdn.com/410417801/files/doc_financials/2022/ar/B/Travelers-2022-Annual-Report-pdf.pdf" TargetMode="External"/><Relationship Id="rId660" Type="http://schemas.openxmlformats.org/officeDocument/2006/relationships/hyperlink" Target="https://www.sec.gov/Archives/edgar/data/86312/000008631223000011/0000086312-23-000011-index.htm" TargetMode="External"/><Relationship Id="rId661" Type="http://schemas.openxmlformats.org/officeDocument/2006/relationships/hyperlink" Target="https://s26.q4cdn.com/410417801/files/doc_financials/2023/ar/Travelers-2023-Annual__Report.pdf" TargetMode="External"/><Relationship Id="rId662" Type="http://schemas.openxmlformats.org/officeDocument/2006/relationships/hyperlink" Target="https://www.sec.gov/Archives/edgar/data/86312/000008631224000012/0000086312-24-000012-index.htm" TargetMode="External"/><Relationship Id="rId663" Type="http://schemas.openxmlformats.org/officeDocument/2006/relationships/hyperlink" Target="https://s26.q4cdn.com/410417801/files/doc_financials/2023/ar/Travelers-2023-Annual__Report.pdf" TargetMode="External"/><Relationship Id="rId664" Type="http://schemas.openxmlformats.org/officeDocument/2006/relationships/hyperlink" Target="https://www.sec.gov/Archives/edgar/data/86312/000008631224000012/0000086312-24-000012-index.htm" TargetMode="External"/><Relationship Id="rId665" Type="http://schemas.openxmlformats.org/officeDocument/2006/relationships/hyperlink" Target="https://s26.q4cdn.com/410417801/files/doc_financials/2023/ar/Travelers-2023-Annual__Report.pdf" TargetMode="External"/><Relationship Id="rId666" Type="http://schemas.openxmlformats.org/officeDocument/2006/relationships/hyperlink" Target="https://www.sec.gov/Archives/edgar/data/86312/000008631224000012/0000086312-24-000012-index.htm" TargetMode="External"/><Relationship Id="rId667" Type="http://schemas.openxmlformats.org/officeDocument/2006/relationships/hyperlink" Target="https://s26.q4cdn.com/410417801/files/doc_financials/2023/ar/Travelers-2023-Annual__Report.pdf" TargetMode="External"/><Relationship Id="rId668" Type="http://schemas.openxmlformats.org/officeDocument/2006/relationships/hyperlink" Target="https://www.sec.gov/Archives/edgar/data/86312/000008631224000012/0000086312-24-000012-index.htm" TargetMode="External"/><Relationship Id="rId669" Type="http://schemas.openxmlformats.org/officeDocument/2006/relationships/hyperlink" Target="https://s26.q4cdn.com/410417801/files/doc_financials/2023/ar/Travelers-2023-Annual__Report.pdf" TargetMode="External"/><Relationship Id="rId670" Type="http://schemas.openxmlformats.org/officeDocument/2006/relationships/hyperlink" Target="https://www.sec.gov/Archives/edgar/data/86312/000008631224000012/0000086312-24-000012-index.htm" TargetMode="External"/><Relationship Id="rId671" Type="http://schemas.openxmlformats.org/officeDocument/2006/relationships/hyperlink" Target="https://s26.q4cdn.com/410417801/files/doc_financials/2023/ar/Travelers-2023-Annual__Report.pdf" TargetMode="External"/><Relationship Id="rId672" Type="http://schemas.openxmlformats.org/officeDocument/2006/relationships/hyperlink" Target="https://www.sec.gov/Archives/edgar/data/86312/000008631224000012/0000086312-24-000012-index.htm" TargetMode="External"/><Relationship Id="rId673" Type="http://schemas.openxmlformats.org/officeDocument/2006/relationships/hyperlink" Target="https://s26.q4cdn.com/410417801/files/doc_financials/2023/ar/Travelers-2023-Annual__Report.pdf" TargetMode="External"/><Relationship Id="rId674" Type="http://schemas.openxmlformats.org/officeDocument/2006/relationships/hyperlink" Target="https://www.sec.gov/Archives/edgar/data/86312/000008631224000012/0000086312-24-000012-index.htm" TargetMode="External"/><Relationship Id="rId675" Type="http://schemas.openxmlformats.org/officeDocument/2006/relationships/hyperlink" Target="https://s26.q4cdn.com/410417801/files/doc_financials/2023/ar/Travelers-2023-Annual__Report.pdf" TargetMode="External"/><Relationship Id="rId676" Type="http://schemas.openxmlformats.org/officeDocument/2006/relationships/hyperlink" Target="https://www.sec.gov/Archives/edgar/data/86312/000008631224000012/0000086312-24-000012-index.htm" TargetMode="External"/><Relationship Id="rId677" Type="http://schemas.openxmlformats.org/officeDocument/2006/relationships/hyperlink" Target="https://s26.q4cdn.com/410417801/files/doc_financials/2022/ar/B/Travelers-2022-Annual-Report-pdf.pdf" TargetMode="External"/><Relationship Id="rId678" Type="http://schemas.openxmlformats.org/officeDocument/2006/relationships/hyperlink" Target="https://www.sec.gov/Archives/edgar/data/86312/000008631223000011/0000086312-23-000011-index.htm" TargetMode="External"/><Relationship Id="rId679" Type="http://schemas.openxmlformats.org/officeDocument/2006/relationships/hyperlink" Target="https://s26.q4cdn.com/410417801/files/doc_financials/2022/ar/B/Travelers-2022-Annual-Report-pdf.pdf" TargetMode="External"/><Relationship Id="rId680" Type="http://schemas.openxmlformats.org/officeDocument/2006/relationships/hyperlink" Target="https://www.sec.gov/Archives/edgar/data/86312/000008631223000011/0000086312-23-000011-index.htm" TargetMode="External"/><Relationship Id="rId681" Type="http://schemas.openxmlformats.org/officeDocument/2006/relationships/hyperlink" Target="https://s26.q4cdn.com/410417801/files/doc_financials/2022/ar/B/Travelers-2022-Annual-Report-pdf.pdf" TargetMode="External"/><Relationship Id="rId682" Type="http://schemas.openxmlformats.org/officeDocument/2006/relationships/hyperlink" Target="https://www.sec.gov/Archives/edgar/data/86312/000008631223000011/0000086312-23-000011-index.htm" TargetMode="External"/><Relationship Id="rId683" Type="http://schemas.openxmlformats.org/officeDocument/2006/relationships/hyperlink" Target="https://s26.q4cdn.com/410417801/files/doc_financials/2022/ar/B/Travelers-2022-Annual-Report-pdf.pdf" TargetMode="External"/><Relationship Id="rId684" Type="http://schemas.openxmlformats.org/officeDocument/2006/relationships/hyperlink" Target="https://www.sec.gov/Archives/edgar/data/86312/000008631223000011/0000086312-23-000011-index.htm" TargetMode="External"/><Relationship Id="rId685" Type="http://schemas.openxmlformats.org/officeDocument/2006/relationships/hyperlink" Target="https://s26.q4cdn.com/410417801/files/doc_financials/2022/ar/B/Travelers-2022-Annual-Report-pdf.pdf" TargetMode="External"/><Relationship Id="rId686" Type="http://schemas.openxmlformats.org/officeDocument/2006/relationships/hyperlink" Target="https://www.sec.gov/Archives/edgar/data/86312/000008631223000011/0000086312-23-000011-index.htm" TargetMode="External"/><Relationship Id="rId687" Type="http://schemas.openxmlformats.org/officeDocument/2006/relationships/hyperlink" Target="https://s26.q4cdn.com/410417801/files/doc_financials/2022/ar/B/Travelers-2022-Annual-Report-pdf.pdf" TargetMode="External"/><Relationship Id="rId688" Type="http://schemas.openxmlformats.org/officeDocument/2006/relationships/hyperlink" Target="https://www.sec.gov/Archives/edgar/data/86312/000008631223000011/0000086312-23-000011-index.htm" TargetMode="External"/><Relationship Id="rId689" Type="http://schemas.openxmlformats.org/officeDocument/2006/relationships/hyperlink" Target="https://s26.q4cdn.com/410417801/files/doc_financials/2022/ar/B/Travelers-2022-Annual-Report-pdf.pdf" TargetMode="External"/><Relationship Id="rId690" Type="http://schemas.openxmlformats.org/officeDocument/2006/relationships/hyperlink" Target="https://www.sec.gov/Archives/edgar/data/86312/000008631223000011/0000086312-23-000011-index.htm" TargetMode="External"/><Relationship Id="rId691" Type="http://schemas.openxmlformats.org/officeDocument/2006/relationships/hyperlink" Target="https://s26.q4cdn.com/410417801/files/doc_financials/2022/ar/B/Travelers-2022-Annual-Report-pdf.pdf" TargetMode="External"/><Relationship Id="rId692" Type="http://schemas.openxmlformats.org/officeDocument/2006/relationships/hyperlink" Target="https://www.sec.gov/Archives/edgar/data/86312/000008631223000011/0000086312-23-000011-index.htm" TargetMode="External"/><Relationship Id="rId693" Type="http://schemas.openxmlformats.org/officeDocument/2006/relationships/hyperlink" Target="https://s26.q4cdn.com/410417801/files/doc_financials/2022/ar/B/Travelers-2022-Annual-Report-pdf.pdf" TargetMode="External"/><Relationship Id="rId694" Type="http://schemas.openxmlformats.org/officeDocument/2006/relationships/hyperlink" Target="https://www.sec.gov/Archives/edgar/data/86312/000008631223000011/0000086312-23-000011-index.htm" TargetMode="External"/><Relationship Id="rId695" Type="http://schemas.openxmlformats.org/officeDocument/2006/relationships/hyperlink" Target="https://s26.q4cdn.com/410417801/files/doc_financials/2022/ar/B/Travelers-2022-Annual-Report-pdf.pdf" TargetMode="External"/><Relationship Id="rId696" Type="http://schemas.openxmlformats.org/officeDocument/2006/relationships/hyperlink" Target="https://www.sec.gov/Archives/edgar/data/86312/000008631223000011/0000086312-23-000011-index.htm" TargetMode="External"/><Relationship Id="rId697" Type="http://schemas.openxmlformats.org/officeDocument/2006/relationships/hyperlink" Target="https://s26.q4cdn.com/410417801/files/doc_financials/2022/ar/B/Travelers-2022-Annual-Report-pdf.pdf" TargetMode="External"/><Relationship Id="rId698" Type="http://schemas.openxmlformats.org/officeDocument/2006/relationships/hyperlink" Target="https://www.sec.gov/Archives/edgar/data/86312/000008631223000011/0000086312-23-000011-index.htm" TargetMode="External"/><Relationship Id="rId699" Type="http://schemas.openxmlformats.org/officeDocument/2006/relationships/hyperlink" Target="https://s26.q4cdn.com/410417801/files/doc_financials/2022/ar/B/Travelers-2022-Annual-Report-pdf.pdf" TargetMode="External"/><Relationship Id="rId700" Type="http://schemas.openxmlformats.org/officeDocument/2006/relationships/hyperlink" Target="https://www.sec.gov/Archives/edgar/data/86312/000008631223000011/0000086312-23-000011-index.htm" TargetMode="External"/><Relationship Id="rId701" Type="http://schemas.openxmlformats.org/officeDocument/2006/relationships/hyperlink" Target="https://s26.q4cdn.com/410417801/files/doc_financials/2022/ar/B/Travelers-2022-Annual-Report-pdf.pdf" TargetMode="External"/><Relationship Id="rId702" Type="http://schemas.openxmlformats.org/officeDocument/2006/relationships/hyperlink" Target="https://www.sec.gov/Archives/edgar/data/86312/000008631223000011/0000086312-23-000011-index.htm" TargetMode="External"/><Relationship Id="rId703" Type="http://schemas.openxmlformats.org/officeDocument/2006/relationships/hyperlink" Target="https://s26.q4cdn.com/410417801/files/doc_financials/2023/ar/Travelers-2023-Annual__Report.pdf" TargetMode="External"/><Relationship Id="rId704" Type="http://schemas.openxmlformats.org/officeDocument/2006/relationships/hyperlink" Target="https://www.sec.gov/Archives/edgar/data/86312/000008631224000012/0000086312-24-000012-index.htm" TargetMode="External"/><Relationship Id="rId705" Type="http://schemas.openxmlformats.org/officeDocument/2006/relationships/hyperlink" Target="https://s26.q4cdn.com/410417801/files/doc_financials/2023/ar/Travelers-2023-Annual__Report.pdf" TargetMode="External"/><Relationship Id="rId706" Type="http://schemas.openxmlformats.org/officeDocument/2006/relationships/hyperlink" Target="https://www.sec.gov/Archives/edgar/data/86312/000008631224000012/0000086312-24-000012-index.htm" TargetMode="External"/><Relationship Id="rId707" Type="http://schemas.openxmlformats.org/officeDocument/2006/relationships/hyperlink" Target="https://s26.q4cdn.com/410417801/files/doc_financials/2023/ar/Travelers-2023-Annual__Report.pdf" TargetMode="External"/><Relationship Id="rId708" Type="http://schemas.openxmlformats.org/officeDocument/2006/relationships/hyperlink" Target="https://www.sec.gov/Archives/edgar/data/86312/000008631224000012/0000086312-24-000012-index.htm" TargetMode="External"/><Relationship Id="rId709" Type="http://schemas.openxmlformats.org/officeDocument/2006/relationships/hyperlink" Target="https://s26.q4cdn.com/410417801/files/doc_financials/2023/ar/Travelers-2023-Annual__Report.pdf" TargetMode="External"/><Relationship Id="rId710" Type="http://schemas.openxmlformats.org/officeDocument/2006/relationships/hyperlink" Target="https://www.sec.gov/Archives/edgar/data/86312/000008631224000012/0000086312-24-000012-index.htm" TargetMode="External"/><Relationship Id="rId711" Type="http://schemas.openxmlformats.org/officeDocument/2006/relationships/hyperlink" Target="https://s26.q4cdn.com/410417801/files/doc_financials/2025/AR/2026-Travelers-Annual-Report-Final.pdf" TargetMode="External"/><Relationship Id="rId712" Type="http://schemas.openxmlformats.org/officeDocument/2006/relationships/hyperlink" Target="https://www.sec.gov/Archives/edgar/data/86312/000008631226000065/0000086312-26-000065-index.htm" TargetMode="External"/><Relationship Id="rId713" Type="http://schemas.openxmlformats.org/officeDocument/2006/relationships/hyperlink" Target="https://s26.q4cdn.com/410417801/files/doc_financials/2023/ar/Travelers-2023-Annual__Report.pdf" TargetMode="External"/><Relationship Id="rId714" Type="http://schemas.openxmlformats.org/officeDocument/2006/relationships/hyperlink" Target="https://www.sec.gov/Archives/edgar/data/86312/000008631224000012/0000086312-24-000012-index.htm" TargetMode="External"/><Relationship Id="rId715" Type="http://schemas.openxmlformats.org/officeDocument/2006/relationships/hyperlink" Target="https://s26.q4cdn.com/410417801/files/doc_financials/2025/AR/2026-Travelers-Annual-Report-Final.pdf" TargetMode="External"/><Relationship Id="rId716" Type="http://schemas.openxmlformats.org/officeDocument/2006/relationships/hyperlink" Target="https://www.sec.gov/Archives/edgar/data/86312/000008631226000065/0000086312-26-000065-index.htm" TargetMode="External"/><Relationship Id="rId717" Type="http://schemas.openxmlformats.org/officeDocument/2006/relationships/hyperlink" Target="https://s26.q4cdn.com/410417801/files/doc_financials/2025/AR/2026-Travelers-Annual-Report-Final.pdf" TargetMode="External"/><Relationship Id="rId718" Type="http://schemas.openxmlformats.org/officeDocument/2006/relationships/hyperlink" Target="https://www.sec.gov/Archives/edgar/data/86312/000008631226000065/0000086312-26-000065-index.htm" TargetMode="External"/><Relationship Id="rId719" Type="http://schemas.openxmlformats.org/officeDocument/2006/relationships/hyperlink" Target="https://s26.q4cdn.com/410417801/files/doc_financials/2023/ar/Travelers-2023-Annual__Report.pdf" TargetMode="External"/><Relationship Id="rId720" Type="http://schemas.openxmlformats.org/officeDocument/2006/relationships/hyperlink" Target="https://www.sec.gov/Archives/edgar/data/86312/000008631224000012/0000086312-24-000012-index.htm" TargetMode="External"/><Relationship Id="rId721" Type="http://schemas.openxmlformats.org/officeDocument/2006/relationships/hyperlink" Target="https://s26.q4cdn.com/410417801/files/doc_financials/2023/ar/Travelers-2023-Annual__Report.pdf" TargetMode="External"/><Relationship Id="rId722" Type="http://schemas.openxmlformats.org/officeDocument/2006/relationships/hyperlink" Target="https://www.sec.gov/Archives/edgar/data/86312/000008631224000012/0000086312-24-000012-index.htm" TargetMode="External"/><Relationship Id="rId723" Type="http://schemas.openxmlformats.org/officeDocument/2006/relationships/hyperlink" Target="https://s26.q4cdn.com/410417801/files/doc_financials/2025/AR/2026-Travelers-Annual-Report-Final.pdf" TargetMode="External"/><Relationship Id="rId724" Type="http://schemas.openxmlformats.org/officeDocument/2006/relationships/hyperlink" Target="https://www.sec.gov/Archives/edgar/data/86312/000008631226000065/0000086312-26-000065-index.htm" TargetMode="External"/><Relationship Id="rId725" Type="http://schemas.openxmlformats.org/officeDocument/2006/relationships/hyperlink" Target="https://s26.q4cdn.com/410417801/files/doc_financials/2025/AR/2026-Travelers-Annual-Report-Final.pdf" TargetMode="External"/><Relationship Id="rId726" Type="http://schemas.openxmlformats.org/officeDocument/2006/relationships/hyperlink" Target="https://www.sec.gov/Archives/edgar/data/86312/000008631226000065/0000086312-26-000065-index.htm" TargetMode="External"/><Relationship Id="rId727" Type="http://schemas.openxmlformats.org/officeDocument/2006/relationships/hyperlink" Target="https://s26.q4cdn.com/410417801/files/doc_financials/2025/AR/2026-Travelers-Annual-Report-Final.pdf" TargetMode="External"/><Relationship Id="rId728" Type="http://schemas.openxmlformats.org/officeDocument/2006/relationships/hyperlink" Target="https://www.sec.gov/Archives/edgar/data/86312/000008631226000065/0000086312-26-000065-index.htm" TargetMode="External"/><Relationship Id="rId729" Type="http://schemas.openxmlformats.org/officeDocument/2006/relationships/hyperlink" Target="https://s26.q4cdn.com/410417801/files/doc_financials/2025/AR/2026-Travelers-Annual-Report-Final.pdf" TargetMode="External"/><Relationship Id="rId730" Type="http://schemas.openxmlformats.org/officeDocument/2006/relationships/hyperlink" Target="https://www.sec.gov/Archives/edgar/data/86312/000008631226000065/0000086312-26-000065-index.htm" TargetMode="External"/><Relationship Id="rId731" Type="http://schemas.openxmlformats.org/officeDocument/2006/relationships/hyperlink" Target="https://s26.q4cdn.com/410417801/files/doc_financials/2025/AR/2026-Travelers-Annual-Report-Final.pdf" TargetMode="External"/><Relationship Id="rId732" Type="http://schemas.openxmlformats.org/officeDocument/2006/relationships/hyperlink" Target="https://www.sec.gov/Archives/edgar/data/86312/000008631226000065/0000086312-26-000065-index.htm" TargetMode="External"/><Relationship Id="rId733" Type="http://schemas.openxmlformats.org/officeDocument/2006/relationships/hyperlink" Target="https://s26.q4cdn.com/410417801/files/doc_financials/2025/AR/2026-Travelers-Annual-Report-Final.pdf" TargetMode="External"/><Relationship Id="rId734" Type="http://schemas.openxmlformats.org/officeDocument/2006/relationships/hyperlink" Target="https://www.sec.gov/Archives/edgar/data/86312/000008631226000065/0000086312-26-000065-index.htm" TargetMode="External"/><Relationship Id="rId735" Type="http://schemas.openxmlformats.org/officeDocument/2006/relationships/hyperlink" Target="https://s26.q4cdn.com/410417801/files/doc_financials/2025/AR/2026-Travelers-Annual-Report-Final.pdf" TargetMode="External"/><Relationship Id="rId736" Type="http://schemas.openxmlformats.org/officeDocument/2006/relationships/hyperlink" Target="https://www.sec.gov/Archives/edgar/data/86312/000008631226000065/0000086312-26-000065-index.htm" TargetMode="External"/><Relationship Id="rId737" Type="http://schemas.openxmlformats.org/officeDocument/2006/relationships/hyperlink" Target="https://s26.q4cdn.com/410417801/files/doc_financials/2023/ar/Travelers-2023-Annual__Report.pdf" TargetMode="External"/><Relationship Id="rId738" Type="http://schemas.openxmlformats.org/officeDocument/2006/relationships/hyperlink" Target="https://www.sec.gov/Archives/edgar/data/86312/000008631224000012/0000086312-24-000012-index.htm" TargetMode="External"/><Relationship Id="rId739" Type="http://schemas.openxmlformats.org/officeDocument/2006/relationships/hyperlink" Target="https://s26.q4cdn.com/410417801/files/doc_financials/2025/AR/2026-Travelers-Annual-Report-Final.pdf" TargetMode="External"/><Relationship Id="rId740" Type="http://schemas.openxmlformats.org/officeDocument/2006/relationships/hyperlink" Target="https://www.sec.gov/Archives/edgar/data/86312/000008631226000065/0000086312-26-000065-index.htm" TargetMode="External"/><Relationship Id="rId741" Type="http://schemas.openxmlformats.org/officeDocument/2006/relationships/hyperlink" Target="https://s26.q4cdn.com/410417801/files/doc_financials/2025/AR/2026-Travelers-Annual-Report-Final.pdf" TargetMode="External"/><Relationship Id="rId742" Type="http://schemas.openxmlformats.org/officeDocument/2006/relationships/hyperlink" Target="https://www.sec.gov/Archives/edgar/data/86312/000008631226000065/0000086312-26-000065-index.htm" TargetMode="External"/><Relationship Id="rId743" Type="http://schemas.openxmlformats.org/officeDocument/2006/relationships/hyperlink" Target="https://s26.q4cdn.com/410417801/files/doc_financials/2025/AR/2026-Travelers-Annual-Report-Final.pdf" TargetMode="External"/><Relationship Id="rId744" Type="http://schemas.openxmlformats.org/officeDocument/2006/relationships/hyperlink" Target="https://www.sec.gov/Archives/edgar/data/86312/000008631226000065/0000086312-26-000065-index.htm" TargetMode="External"/><Relationship Id="rId745" Type="http://schemas.openxmlformats.org/officeDocument/2006/relationships/hyperlink" Target="https://s26.q4cdn.com/410417801/files/doc_financials/2025/AR/2026-Travelers-Annual-Report-Final.pdf" TargetMode="External"/><Relationship Id="rId746" Type="http://schemas.openxmlformats.org/officeDocument/2006/relationships/hyperlink" Target="https://www.sec.gov/Archives/edgar/data/86312/000008631226000065/0000086312-26-000065-index.htm" TargetMode="External"/><Relationship Id="rId747" Type="http://schemas.openxmlformats.org/officeDocument/2006/relationships/hyperlink" Target="https://s26.q4cdn.com/410417801/files/doc_financials/2025/AR/2026-Travelers-Annual-Report-Final.pdf" TargetMode="External"/><Relationship Id="rId748" Type="http://schemas.openxmlformats.org/officeDocument/2006/relationships/hyperlink" Target="https://www.sec.gov/Archives/edgar/data/86312/000008631226000065/0000086312-26-000065-index.htm" TargetMode="External"/><Relationship Id="rId749" Type="http://schemas.openxmlformats.org/officeDocument/2006/relationships/hyperlink" Target="https://s26.q4cdn.com/410417801/files/doc_financials/2025/AR/2026-Travelers-Annual-Report-Final.pdf" TargetMode="External"/><Relationship Id="rId750" Type="http://schemas.openxmlformats.org/officeDocument/2006/relationships/hyperlink" Target="https://www.sec.gov/Archives/edgar/data/86312/000008631226000065/0000086312-26-000065-index.htm" TargetMode="External"/><Relationship Id="rId751" Type="http://schemas.openxmlformats.org/officeDocument/2006/relationships/hyperlink" Target="https://s26.q4cdn.com/410417801/files/doc_financials/2025/AR/2026-Travelers-Annual-Report-Final.pdf" TargetMode="External"/><Relationship Id="rId752" Type="http://schemas.openxmlformats.org/officeDocument/2006/relationships/hyperlink" Target="https://www.sec.gov/Archives/edgar/data/86312/000008631226000065/0000086312-26-000065-index.htm" TargetMode="External"/><Relationship Id="rId753" Type="http://schemas.openxmlformats.org/officeDocument/2006/relationships/hyperlink" Target="https://s26.q4cdn.com/410417801/files/doc_financials/2025/AR/2026-Travelers-Annual-Report-Final.pdf" TargetMode="External"/><Relationship Id="rId754" Type="http://schemas.openxmlformats.org/officeDocument/2006/relationships/hyperlink" Target="https://www.sec.gov/Archives/edgar/data/86312/000008631226000065/0000086312-26-000065-index.htm" TargetMode="External"/><Relationship Id="rId755" Type="http://schemas.openxmlformats.org/officeDocument/2006/relationships/hyperlink" Target="https://s26.q4cdn.com/410417801/files/doc_financials/2023/ar/Travelers-2023-Annual__Report.pdf" TargetMode="External"/><Relationship Id="rId756" Type="http://schemas.openxmlformats.org/officeDocument/2006/relationships/hyperlink" Target="https://www.sec.gov/Archives/edgar/data/86312/000008631224000012/0000086312-24-000012-index.htm" TargetMode="External"/><Relationship Id="rId757" Type="http://schemas.openxmlformats.org/officeDocument/2006/relationships/hyperlink" Target="https://s26.q4cdn.com/410417801/files/doc_financials/2023/ar/Travelers-2023-Annual__Report.pdf" TargetMode="External"/><Relationship Id="rId758" Type="http://schemas.openxmlformats.org/officeDocument/2006/relationships/hyperlink" Target="https://www.sec.gov/Archives/edgar/data/86312/000008631224000012/0000086312-24-000012-index.htm" TargetMode="External"/><Relationship Id="rId759" Type="http://schemas.openxmlformats.org/officeDocument/2006/relationships/hyperlink" Target="https://s26.q4cdn.com/410417801/files/doc_financials/2023/ar/Travelers-2023-Annual__Report.pdf" TargetMode="External"/><Relationship Id="rId760" Type="http://schemas.openxmlformats.org/officeDocument/2006/relationships/hyperlink" Target="https://www.sec.gov/Archives/edgar/data/86312/000008631224000012/0000086312-24-000012-index.htm" TargetMode="External"/><Relationship Id="rId761" Type="http://schemas.openxmlformats.org/officeDocument/2006/relationships/hyperlink" Target="https://s26.q4cdn.com/410417801/files/doc_financials/2023/ar/Travelers-2023-Annual__Report.pdf" TargetMode="External"/><Relationship Id="rId762" Type="http://schemas.openxmlformats.org/officeDocument/2006/relationships/hyperlink" Target="https://www.sec.gov/Archives/edgar/data/86312/000008631224000012/0000086312-24-000012-index.htm" TargetMode="External"/><Relationship Id="rId763" Type="http://schemas.openxmlformats.org/officeDocument/2006/relationships/hyperlink" Target="https://s26.q4cdn.com/410417801/files/doc_financials/2023/ar/Travelers-2023-Annual__Report.pdf" TargetMode="External"/><Relationship Id="rId764" Type="http://schemas.openxmlformats.org/officeDocument/2006/relationships/hyperlink" Target="https://www.sec.gov/Archives/edgar/data/86312/000008631224000012/0000086312-24-000012-index.htm" TargetMode="External"/><Relationship Id="rId765" Type="http://schemas.openxmlformats.org/officeDocument/2006/relationships/hyperlink" Target="https://s26.q4cdn.com/410417801/files/doc_financials/2025/AR/2026-Travelers-Annual-Report-Final.pdf" TargetMode="External"/><Relationship Id="rId766" Type="http://schemas.openxmlformats.org/officeDocument/2006/relationships/hyperlink" Target="https://www.sec.gov/Archives/edgar/data/86312/000008631226000065/0000086312-26-000065-index.htm" TargetMode="External"/><Relationship Id="rId767" Type="http://schemas.openxmlformats.org/officeDocument/2006/relationships/hyperlink" Target="https://s26.q4cdn.com/410417801/files/doc_financials/2025/AR/2026-Travelers-Annual-Report-Final.pdf" TargetMode="External"/><Relationship Id="rId768" Type="http://schemas.openxmlformats.org/officeDocument/2006/relationships/hyperlink" Target="https://www.sec.gov/Archives/edgar/data/86312/000008631226000065/0000086312-26-000065-index.htm" TargetMode="External"/><Relationship Id="rId769" Type="http://schemas.openxmlformats.org/officeDocument/2006/relationships/hyperlink" Target="https://s26.q4cdn.com/410417801/files/doc_financials/2023/ar/Travelers-2023-Annual__Report.pdf" TargetMode="External"/><Relationship Id="rId770" Type="http://schemas.openxmlformats.org/officeDocument/2006/relationships/hyperlink" Target="https://www.sec.gov/Archives/edgar/data/86312/000008631224000012/0000086312-24-000012-index.htm" TargetMode="External"/><Relationship Id="rId771" Type="http://schemas.openxmlformats.org/officeDocument/2006/relationships/hyperlink" Target="https://s26.q4cdn.com/410417801/files/doc_financials/2025/AR/2026-Travelers-Annual-Report-Final.pdf" TargetMode="External"/><Relationship Id="rId772" Type="http://schemas.openxmlformats.org/officeDocument/2006/relationships/hyperlink" Target="https://www.sec.gov/Archives/edgar/data/86312/000008631226000065/0000086312-26-000065-index.htm" TargetMode="External"/><Relationship Id="rId773" Type="http://schemas.openxmlformats.org/officeDocument/2006/relationships/hyperlink" Target="https://s26.q4cdn.com/410417801/files/doc_financials/2025/AR/2026-Travelers-Annual-Report-Final.pdf" TargetMode="External"/><Relationship Id="rId774" Type="http://schemas.openxmlformats.org/officeDocument/2006/relationships/hyperlink" Target="https://www.sec.gov/Archives/edgar/data/86312/000008631226000065/0000086312-26-000065-index.htm" TargetMode="External"/><Relationship Id="rId775" Type="http://schemas.openxmlformats.org/officeDocument/2006/relationships/hyperlink" Target="https://s26.q4cdn.com/410417801/files/doc_financials/2023/ar/Travelers-2023-Annual__Report.pdf" TargetMode="External"/><Relationship Id="rId776" Type="http://schemas.openxmlformats.org/officeDocument/2006/relationships/hyperlink" Target="https://www.sec.gov/Archives/edgar/data/86312/000008631224000012/0000086312-24-000012-index.htm" TargetMode="External"/><Relationship Id="rId777" Type="http://schemas.openxmlformats.org/officeDocument/2006/relationships/hyperlink" Target="https://s26.q4cdn.com/410417801/files/doc_financials/2025/AR/2026-Travelers-Annual-Report-Final.pdf" TargetMode="External"/><Relationship Id="rId778" Type="http://schemas.openxmlformats.org/officeDocument/2006/relationships/hyperlink" Target="https://www.sec.gov/Archives/edgar/data/86312/000008631226000065/0000086312-26-000065-index.htm" TargetMode="External"/><Relationship Id="rId779" Type="http://schemas.openxmlformats.org/officeDocument/2006/relationships/hyperlink" Target="https://s26.q4cdn.com/410417801/files/doc_financials/2025/AR/2026-Travelers-Annual-Report-Final.pdf" TargetMode="External"/><Relationship Id="rId780" Type="http://schemas.openxmlformats.org/officeDocument/2006/relationships/hyperlink" Target="https://www.sec.gov/Archives/edgar/data/86312/000008631226000065/0000086312-26-000065-index.htm" TargetMode="External"/><Relationship Id="rId781" Type="http://schemas.openxmlformats.org/officeDocument/2006/relationships/hyperlink" Target="https://s26.q4cdn.com/410417801/files/doc_financials/2025/AR/2026-Travelers-Annual-Report-Final.pdf" TargetMode="External"/><Relationship Id="rId782" Type="http://schemas.openxmlformats.org/officeDocument/2006/relationships/hyperlink" Target="https://www.sec.gov/Archives/edgar/data/86312/000008631226000065/0000086312-26-000065-index.htm" TargetMode="External"/><Relationship Id="rId783" Type="http://schemas.openxmlformats.org/officeDocument/2006/relationships/hyperlink" Target="https://s26.q4cdn.com/410417801/files/doc_financials/2025/AR/2026-Travelers-Annual-Report-Final.pdf" TargetMode="External"/><Relationship Id="rId784" Type="http://schemas.openxmlformats.org/officeDocument/2006/relationships/hyperlink" Target="https://www.sec.gov/Archives/edgar/data/86312/000008631226000065/0000086312-26-000065-index.htm" TargetMode="External"/><Relationship Id="rId785" Type="http://schemas.openxmlformats.org/officeDocument/2006/relationships/hyperlink" Target="https://s26.q4cdn.com/410417801/files/doc_financials/2025/AR/2026-Travelers-Annual-Report-Final.pdf" TargetMode="External"/><Relationship Id="rId786" Type="http://schemas.openxmlformats.org/officeDocument/2006/relationships/hyperlink" Target="https://www.sec.gov/Archives/edgar/data/86312/000008631226000065/0000086312-26-000065-index.htm" TargetMode="External"/><Relationship Id="rId787" Type="http://schemas.openxmlformats.org/officeDocument/2006/relationships/hyperlink" Target="https://s26.q4cdn.com/410417801/files/doc_financials/2025/AR/2026-Travelers-Annual-Report-Final.pdf" TargetMode="External"/><Relationship Id="rId788" Type="http://schemas.openxmlformats.org/officeDocument/2006/relationships/hyperlink" Target="https://www.sec.gov/Archives/edgar/data/86312/000008631226000065/0000086312-26-000065-index.htm" TargetMode="External"/><Relationship Id="rId789" Type="http://schemas.openxmlformats.org/officeDocument/2006/relationships/hyperlink" Target="https://s26.q4cdn.com/410417801/files/doc_financials/2023/ar/Travelers-2023-Annual__Report.pdf" TargetMode="External"/><Relationship Id="rId790" Type="http://schemas.openxmlformats.org/officeDocument/2006/relationships/hyperlink" Target="https://www.sec.gov/Archives/edgar/data/86312/000008631224000012/0000086312-24-000012-index.htm" TargetMode="External"/><Relationship Id="rId791" Type="http://schemas.openxmlformats.org/officeDocument/2006/relationships/hyperlink" Target="https://s26.q4cdn.com/410417801/files/doc_financials/2025/AR/2026-Travelers-Annual-Report-Final.pdf" TargetMode="External"/><Relationship Id="rId792" Type="http://schemas.openxmlformats.org/officeDocument/2006/relationships/hyperlink" Target="https://www.sec.gov/Archives/edgar/data/86312/000008631226000065/0000086312-26-000065-index.htm" TargetMode="External"/><Relationship Id="rId793" Type="http://schemas.openxmlformats.org/officeDocument/2006/relationships/hyperlink" Target="https://s26.q4cdn.com/410417801/files/doc_financials/2025/AR/2026-Travelers-Annual-Report-Final.pdf" TargetMode="External"/><Relationship Id="rId794" Type="http://schemas.openxmlformats.org/officeDocument/2006/relationships/hyperlink" Target="https://www.sec.gov/Archives/edgar/data/86312/000008631226000065/0000086312-26-000065-index.htm" TargetMode="External"/><Relationship Id="rId795" Type="http://schemas.openxmlformats.org/officeDocument/2006/relationships/hyperlink" Target="https://s26.q4cdn.com/410417801/files/doc_financials/2025/AR/2026-Travelers-Annual-Report-Final.pdf" TargetMode="External"/><Relationship Id="rId796" Type="http://schemas.openxmlformats.org/officeDocument/2006/relationships/hyperlink" Target="https://www.sec.gov/Archives/edgar/data/86312/000008631226000065/0000086312-26-000065-index.htm" TargetMode="External"/><Relationship Id="rId797" Type="http://schemas.openxmlformats.org/officeDocument/2006/relationships/hyperlink" Target="https://s26.q4cdn.com/410417801/files/doc_financials/2023/ar/Travelers-2023-Annual__Report.pdf" TargetMode="External"/><Relationship Id="rId798" Type="http://schemas.openxmlformats.org/officeDocument/2006/relationships/hyperlink" Target="https://www.sec.gov/Archives/edgar/data/86312/000008631224000012/0000086312-24-000012-index.htm" TargetMode="External"/><Relationship Id="rId799" Type="http://schemas.openxmlformats.org/officeDocument/2006/relationships/hyperlink" Target="https://s26.q4cdn.com/410417801/files/doc_financials/2025/AR/2026-Travelers-Annual-Report-Final.pdf" TargetMode="External"/><Relationship Id="rId800" Type="http://schemas.openxmlformats.org/officeDocument/2006/relationships/hyperlink" Target="https://www.sec.gov/Archives/edgar/data/86312/000008631226000065/0000086312-26-000065-index.htm" TargetMode="External"/><Relationship Id="rId801" Type="http://schemas.openxmlformats.org/officeDocument/2006/relationships/hyperlink" Target="https://s26.q4cdn.com/410417801/files/doc_financials/2025/AR/2026-Travelers-Annual-Report-Final.pdf" TargetMode="External"/><Relationship Id="rId802" Type="http://schemas.openxmlformats.org/officeDocument/2006/relationships/hyperlink" Target="https://www.sec.gov/Archives/edgar/data/86312/000008631226000065/0000086312-26-000065-index.htm" TargetMode="External"/><Relationship Id="rId803" Type="http://schemas.openxmlformats.org/officeDocument/2006/relationships/hyperlink" Target="https://s26.q4cdn.com/410417801/files/doc_financials/2025/AR/2026-Travelers-Annual-Report-Final.pdf" TargetMode="External"/><Relationship Id="rId804" Type="http://schemas.openxmlformats.org/officeDocument/2006/relationships/hyperlink" Target="https://www.sec.gov/Archives/edgar/data/86312/000008631226000065/0000086312-26-000065-index.htm" TargetMode="External"/><Relationship Id="rId805" Type="http://schemas.openxmlformats.org/officeDocument/2006/relationships/hyperlink" Target="https://s26.q4cdn.com/410417801/files/doc_financials/2023/ar/Travelers-2023-Annual__Report.pdf" TargetMode="External"/><Relationship Id="rId806" Type="http://schemas.openxmlformats.org/officeDocument/2006/relationships/hyperlink" Target="https://www.sec.gov/Archives/edgar/data/86312/000008631224000012/0000086312-24-000012-index.htm" TargetMode="External"/><Relationship Id="rId807" Type="http://schemas.openxmlformats.org/officeDocument/2006/relationships/hyperlink" Target="https://s26.q4cdn.com/410417801/files/doc_financials/2023/ar/Travelers-2023-Annual__Report.pdf" TargetMode="External"/><Relationship Id="rId808" Type="http://schemas.openxmlformats.org/officeDocument/2006/relationships/hyperlink" Target="https://www.sec.gov/Archives/edgar/data/86312/000008631224000012/0000086312-24-000012-index.htm" TargetMode="External"/><Relationship Id="rId809" Type="http://schemas.openxmlformats.org/officeDocument/2006/relationships/hyperlink" Target="https://s26.q4cdn.com/410417801/files/doc_financials/2025/AR/2026-Travelers-Annual-Report-Final.pdf" TargetMode="External"/><Relationship Id="rId810" Type="http://schemas.openxmlformats.org/officeDocument/2006/relationships/hyperlink" Target="https://www.sec.gov/Archives/edgar/data/86312/000008631226000065/0000086312-26-000065-index.htm" TargetMode="External"/><Relationship Id="rId811" Type="http://schemas.openxmlformats.org/officeDocument/2006/relationships/hyperlink" Target="https://s26.q4cdn.com/410417801/files/doc_financials/2025/AR/2026-Travelers-Annual-Report-Final.pdf" TargetMode="External"/><Relationship Id="rId812" Type="http://schemas.openxmlformats.org/officeDocument/2006/relationships/hyperlink" Target="https://www.sec.gov/Archives/edgar/data/86312/000008631226000065/0000086312-26-000065-index.htm" TargetMode="External"/><Relationship Id="rId813" Type="http://schemas.openxmlformats.org/officeDocument/2006/relationships/hyperlink" Target="https://s26.q4cdn.com/410417801/files/doc_financials/2025/AR/2026-Travelers-Annual-Report-Final.pdf" TargetMode="External"/><Relationship Id="rId814" Type="http://schemas.openxmlformats.org/officeDocument/2006/relationships/hyperlink" Target="https://www.sec.gov/Archives/edgar/data/86312/000008631226000065/0000086312-26-000065-index.htm" TargetMode="External"/><Relationship Id="rId815" Type="http://schemas.openxmlformats.org/officeDocument/2006/relationships/hyperlink" Target="https://s26.q4cdn.com/410417801/files/doc_financials/2025/AR/2026-Travelers-Annual-Report-Final.pdf" TargetMode="External"/><Relationship Id="rId816" Type="http://schemas.openxmlformats.org/officeDocument/2006/relationships/hyperlink" Target="https://www.sec.gov/Archives/edgar/data/86312/000008631226000065/0000086312-26-000065-index.htm" TargetMode="External"/><Relationship Id="rId817" Type="http://schemas.openxmlformats.org/officeDocument/2006/relationships/hyperlink" Target="https://s26.q4cdn.com/410417801/files/doc_financials/2023/ar/Travelers-2023-Annual__Report.pdf" TargetMode="External"/><Relationship Id="rId818" Type="http://schemas.openxmlformats.org/officeDocument/2006/relationships/hyperlink" Target="https://www.sec.gov/Archives/edgar/data/86312/000008631224000012/0000086312-24-000012-index.htm" TargetMode="External"/><Relationship Id="rId819" Type="http://schemas.openxmlformats.org/officeDocument/2006/relationships/hyperlink" Target="https://s26.q4cdn.com/410417801/files/doc_financials/2025/AR/2026-Travelers-Annual-Report-Final.pdf" TargetMode="External"/><Relationship Id="rId820" Type="http://schemas.openxmlformats.org/officeDocument/2006/relationships/hyperlink" Target="https://www.sec.gov/Archives/edgar/data/86312/000008631226000065/0000086312-26-000065-index.htm" TargetMode="External"/><Relationship Id="rId821" Type="http://schemas.openxmlformats.org/officeDocument/2006/relationships/hyperlink" Target="https://s26.q4cdn.com/410417801/files/doc_financials/2023/ar/Travelers-2023-Annual__Report.pdf" TargetMode="External"/><Relationship Id="rId822" Type="http://schemas.openxmlformats.org/officeDocument/2006/relationships/hyperlink" Target="https://www.sec.gov/Archives/edgar/data/86312/000008631224000012/0000086312-24-000012-index.htm" TargetMode="External"/><Relationship Id="rId823" Type="http://schemas.openxmlformats.org/officeDocument/2006/relationships/hyperlink" Target="https://s26.q4cdn.com/410417801/files/doc_financials/2023/ar/Travelers-2023-Annual__Report.pdf" TargetMode="External"/><Relationship Id="rId824" Type="http://schemas.openxmlformats.org/officeDocument/2006/relationships/hyperlink" Target="https://www.sec.gov/Archives/edgar/data/86312/000008631224000012/0000086312-24-000012-index.htm" TargetMode="External"/><Relationship Id="rId825" Type="http://schemas.openxmlformats.org/officeDocument/2006/relationships/hyperlink" Target="https://s26.q4cdn.com/410417801/files/doc_financials/2025/AR/2026-Travelers-Annual-Report-Final.pdf" TargetMode="External"/><Relationship Id="rId826" Type="http://schemas.openxmlformats.org/officeDocument/2006/relationships/hyperlink" Target="https://www.sec.gov/Archives/edgar/data/86312/000008631226000065/0000086312-26-000065-index.htm" TargetMode="External"/><Relationship Id="rId827" Type="http://schemas.openxmlformats.org/officeDocument/2006/relationships/hyperlink" Target="https://s26.q4cdn.com/410417801/files/doc_financials/2023/ar/Travelers-2023-Annual__Report.pdf" TargetMode="External"/><Relationship Id="rId828" Type="http://schemas.openxmlformats.org/officeDocument/2006/relationships/hyperlink" Target="https://www.sec.gov/Archives/edgar/data/86312/000008631224000012/0000086312-24-000012-index.htm" TargetMode="External"/><Relationship Id="rId829" Type="http://schemas.openxmlformats.org/officeDocument/2006/relationships/hyperlink" Target="https://s26.q4cdn.com/410417801/files/doc_financials/2025/AR/2026-Travelers-Annual-Report-Final.pdf" TargetMode="External"/><Relationship Id="rId830" Type="http://schemas.openxmlformats.org/officeDocument/2006/relationships/hyperlink" Target="https://www.sec.gov/Archives/edgar/data/86312/000008631226000065/0000086312-26-000065-index.htm" TargetMode="External"/><Relationship Id="rId831" Type="http://schemas.openxmlformats.org/officeDocument/2006/relationships/hyperlink" Target="https://s26.q4cdn.com/410417801/files/doc_financials/2025/AR/2026-Travelers-Annual-Report-Final.pdf" TargetMode="External"/><Relationship Id="rId832" Type="http://schemas.openxmlformats.org/officeDocument/2006/relationships/hyperlink" Target="https://www.sec.gov/Archives/edgar/data/86312/000008631226000065/0000086312-26-000065-index.htm" TargetMode="External"/><Relationship Id="rId833" Type="http://schemas.openxmlformats.org/officeDocument/2006/relationships/hyperlink" Target="https://s26.q4cdn.com/410417801/files/doc_financials/2025/AR/2026-Travelers-Annual-Report-Final.pdf" TargetMode="External"/><Relationship Id="rId834" Type="http://schemas.openxmlformats.org/officeDocument/2006/relationships/hyperlink" Target="https://www.sec.gov/Archives/edgar/data/86312/000008631226000065/0000086312-26-000065-index.htm" TargetMode="External"/><Relationship Id="rId835" Type="http://schemas.openxmlformats.org/officeDocument/2006/relationships/hyperlink" Target="https://s26.q4cdn.com/410417801/files/doc_financials/2025/AR/2026-Travelers-Annual-Report-Final.pdf" TargetMode="External"/><Relationship Id="rId836" Type="http://schemas.openxmlformats.org/officeDocument/2006/relationships/hyperlink" Target="https://www.sec.gov/Archives/edgar/data/86312/000008631226000065/0000086312-26-000065-index.htm" TargetMode="External"/><Relationship Id="rId837" Type="http://schemas.openxmlformats.org/officeDocument/2006/relationships/hyperlink" Target="https://s26.q4cdn.com/410417801/files/doc_financials/2023/ar/Travelers-2023-Annual__Report.pdf" TargetMode="External"/><Relationship Id="rId838" Type="http://schemas.openxmlformats.org/officeDocument/2006/relationships/hyperlink" Target="https://www.sec.gov/Archives/edgar/data/86312/000008631224000012/0000086312-24-000012-index.htm" TargetMode="External"/><Relationship Id="rId839" Type="http://schemas.openxmlformats.org/officeDocument/2006/relationships/hyperlink" Target="https://s26.q4cdn.com/410417801/files/doc_financials/2023/ar/Travelers-2023-Annual__Report.pdf" TargetMode="External"/><Relationship Id="rId840" Type="http://schemas.openxmlformats.org/officeDocument/2006/relationships/hyperlink" Target="https://www.sec.gov/Archives/edgar/data/86312/000008631224000012/0000086312-24-000012-index.htm" TargetMode="External"/><Relationship Id="rId841" Type="http://schemas.openxmlformats.org/officeDocument/2006/relationships/hyperlink" Target="https://s26.q4cdn.com/410417801/files/doc_financials/2025/AR/2026-Travelers-Annual-Report-Final.pdf" TargetMode="External"/><Relationship Id="rId842" Type="http://schemas.openxmlformats.org/officeDocument/2006/relationships/hyperlink" Target="https://www.sec.gov/Archives/edgar/data/86312/000008631226000065/0000086312-26-000065-index.htm" TargetMode="External"/><Relationship Id="rId843" Type="http://schemas.openxmlformats.org/officeDocument/2006/relationships/hyperlink" Target="https://s26.q4cdn.com/410417801/files/doc_financials/2025/AR/2026-Travelers-Annual-Report-Final.pdf" TargetMode="External"/><Relationship Id="rId844" Type="http://schemas.openxmlformats.org/officeDocument/2006/relationships/hyperlink" Target="https://www.sec.gov/Archives/edgar/data/86312/000008631226000065/0000086312-26-000065-index.htm" TargetMode="External"/><Relationship Id="rId845" Type="http://schemas.openxmlformats.org/officeDocument/2006/relationships/hyperlink" Target="https://s26.q4cdn.com/410417801/files/doc_financials/2023/ar/Travelers-2023-Annual__Report.pdf" TargetMode="External"/><Relationship Id="rId846" Type="http://schemas.openxmlformats.org/officeDocument/2006/relationships/hyperlink" Target="https://www.sec.gov/Archives/edgar/data/86312/000008631224000012/0000086312-24-000012-index.htm" TargetMode="External"/><Relationship Id="rId847" Type="http://schemas.openxmlformats.org/officeDocument/2006/relationships/hyperlink" Target="https://s26.q4cdn.com/410417801/files/doc_financials/2025/AR/2026-Travelers-Annual-Report-Final.pdf" TargetMode="External"/><Relationship Id="rId848" Type="http://schemas.openxmlformats.org/officeDocument/2006/relationships/hyperlink" Target="https://www.sec.gov/Archives/edgar/data/86312/000008631226000065/0000086312-26-000065-index.htm" TargetMode="External"/><Relationship Id="rId849" Type="http://schemas.openxmlformats.org/officeDocument/2006/relationships/hyperlink" Target="https://s26.q4cdn.com/410417801/files/doc_financials/2025/AR/2026-Travelers-Annual-Report-Final.pdf" TargetMode="External"/><Relationship Id="rId850" Type="http://schemas.openxmlformats.org/officeDocument/2006/relationships/hyperlink" Target="https://www.sec.gov/Archives/edgar/data/86312/000008631226000065/0000086312-26-000065-index.htm" TargetMode="External"/><Relationship Id="rId851" Type="http://schemas.openxmlformats.org/officeDocument/2006/relationships/hyperlink" Target="https://s26.q4cdn.com/410417801/files/doc_financials/2023/ar/Travelers-2023-Annual__Report.pdf" TargetMode="External"/><Relationship Id="rId852" Type="http://schemas.openxmlformats.org/officeDocument/2006/relationships/hyperlink" Target="https://www.sec.gov/Archives/edgar/data/86312/000008631224000012/0000086312-24-000012-index.htm" TargetMode="External"/><Relationship Id="rId853" Type="http://schemas.openxmlformats.org/officeDocument/2006/relationships/hyperlink" Target="https://s26.q4cdn.com/410417801/files/doc_financials/2023/ar/Travelers-2023-Annual__Report.pdf" TargetMode="External"/><Relationship Id="rId854" Type="http://schemas.openxmlformats.org/officeDocument/2006/relationships/hyperlink" Target="https://www.sec.gov/Archives/edgar/data/86312/000008631224000012/0000086312-24-000012-index.htm" TargetMode="External"/><Relationship Id="rId855" Type="http://schemas.openxmlformats.org/officeDocument/2006/relationships/hyperlink" Target="https://s26.q4cdn.com/410417801/files/doc_financials/2025/AR/2026-Travelers-Annual-Report-Final.pdf" TargetMode="External"/><Relationship Id="rId856" Type="http://schemas.openxmlformats.org/officeDocument/2006/relationships/hyperlink" Target="https://www.sec.gov/Archives/edgar/data/86312/000008631226000065/0000086312-26-000065-index.htm" TargetMode="External"/><Relationship Id="rId857" Type="http://schemas.openxmlformats.org/officeDocument/2006/relationships/hyperlink" Target="https://s26.q4cdn.com/410417801/files/doc_financials/2023/ar/Travelers-2023-Annual__Report.pdf" TargetMode="External"/><Relationship Id="rId858" Type="http://schemas.openxmlformats.org/officeDocument/2006/relationships/hyperlink" Target="https://www.sec.gov/Archives/edgar/data/86312/000008631224000012/0000086312-24-000012-index.htm" TargetMode="External"/><Relationship Id="rId859" Type="http://schemas.openxmlformats.org/officeDocument/2006/relationships/hyperlink" Target="https://s26.q4cdn.com/410417801/files/doc_financials/2023/ar/Travelers-2023-Annual__Report.pdf" TargetMode="External"/><Relationship Id="rId860" Type="http://schemas.openxmlformats.org/officeDocument/2006/relationships/hyperlink" Target="https://www.sec.gov/Archives/edgar/data/86312/000008631224000012/0000086312-24-000012-index.htm" TargetMode="External"/><Relationship Id="rId861" Type="http://schemas.openxmlformats.org/officeDocument/2006/relationships/hyperlink" Target="https://s26.q4cdn.com/410417801/files/doc_financials/2023/ar/Travelers-2023-Annual__Report.pdf" TargetMode="External"/><Relationship Id="rId862" Type="http://schemas.openxmlformats.org/officeDocument/2006/relationships/hyperlink" Target="https://www.sec.gov/Archives/edgar/data/86312/000008631224000012/0000086312-24-000012-index.htm" TargetMode="External"/><Relationship Id="rId863" Type="http://schemas.openxmlformats.org/officeDocument/2006/relationships/hyperlink" Target="https://s26.q4cdn.com/410417801/files/doc_financials/2025/AR/2026-Travelers-Annual-Report-Final.pdf" TargetMode="External"/><Relationship Id="rId864" Type="http://schemas.openxmlformats.org/officeDocument/2006/relationships/hyperlink" Target="https://www.sec.gov/Archives/edgar/data/86312/000008631226000065/0000086312-26-000065-index.htm" TargetMode="External"/><Relationship Id="rId865" Type="http://schemas.openxmlformats.org/officeDocument/2006/relationships/hyperlink" Target="https://s26.q4cdn.com/410417801/files/doc_financials/2023/ar/Travelers-2023-Annual__Report.pdf" TargetMode="External"/><Relationship Id="rId866" Type="http://schemas.openxmlformats.org/officeDocument/2006/relationships/hyperlink" Target="https://www.sec.gov/Archives/edgar/data/86312/000008631224000012/0000086312-24-000012-index.htm" TargetMode="External"/><Relationship Id="rId867" Type="http://schemas.openxmlformats.org/officeDocument/2006/relationships/hyperlink" Target="https://s26.q4cdn.com/410417801/files/doc_financials/2025/AR/2026-Travelers-Annual-Report-Final.pdf" TargetMode="External"/><Relationship Id="rId868" Type="http://schemas.openxmlformats.org/officeDocument/2006/relationships/hyperlink" Target="https://www.sec.gov/Archives/edgar/data/86312/000008631226000065/0000086312-26-000065-index.htm" TargetMode="External"/><Relationship Id="rId869" Type="http://schemas.openxmlformats.org/officeDocument/2006/relationships/hyperlink" Target="https://s26.q4cdn.com/410417801/files/doc_financials/2025/AR/2026-Travelers-Annual-Report-Final.pdf" TargetMode="External"/><Relationship Id="rId870" Type="http://schemas.openxmlformats.org/officeDocument/2006/relationships/hyperlink" Target="https://www.sec.gov/Archives/edgar/data/86312/000008631226000065/0000086312-26-000065-index.htm" TargetMode="External"/><Relationship Id="rId871" Type="http://schemas.openxmlformats.org/officeDocument/2006/relationships/hyperlink" Target="https://s26.q4cdn.com/410417801/files/doc_financials/2025/AR/2026-Travelers-Annual-Report-Final.pdf" TargetMode="External"/><Relationship Id="rId872" Type="http://schemas.openxmlformats.org/officeDocument/2006/relationships/hyperlink" Target="https://www.sec.gov/Archives/edgar/data/86312/000008631226000065/0000086312-26-000065-index.htm" TargetMode="External"/><Relationship Id="rId873" Type="http://schemas.openxmlformats.org/officeDocument/2006/relationships/hyperlink" Target="https://s26.q4cdn.com/410417801/files/doc_financials/2023/ar/Travelers-2023-Annual__Report.pdf" TargetMode="External"/><Relationship Id="rId874" Type="http://schemas.openxmlformats.org/officeDocument/2006/relationships/hyperlink" Target="https://www.sec.gov/Archives/edgar/data/86312/000008631224000012/0000086312-24-000012-index.htm" TargetMode="External"/><Relationship Id="rId875" Type="http://schemas.openxmlformats.org/officeDocument/2006/relationships/hyperlink" Target="https://s26.q4cdn.com/410417801/files/doc_financials/2023/ar/Travelers-2023-Annual__Report.pdf" TargetMode="External"/><Relationship Id="rId876" Type="http://schemas.openxmlformats.org/officeDocument/2006/relationships/hyperlink" Target="https://www.sec.gov/Archives/edgar/data/86312/000008631224000012/0000086312-24-000012-index.htm" TargetMode="External"/><Relationship Id="rId877" Type="http://schemas.openxmlformats.org/officeDocument/2006/relationships/hyperlink" Target="https://s26.q4cdn.com/410417801/files/doc_financials/2023/ar/Travelers-2023-Annual__Report.pdf" TargetMode="External"/><Relationship Id="rId878" Type="http://schemas.openxmlformats.org/officeDocument/2006/relationships/hyperlink" Target="https://www.sec.gov/Archives/edgar/data/86312/000008631224000012/0000086312-24-000012-index.htm" TargetMode="External"/><Relationship Id="rId879" Type="http://schemas.openxmlformats.org/officeDocument/2006/relationships/hyperlink" Target="https://s26.q4cdn.com/410417801/files/doc_financials/2023/ar/Travelers-2023-Annual__Report.pdf" TargetMode="External"/><Relationship Id="rId880" Type="http://schemas.openxmlformats.org/officeDocument/2006/relationships/hyperlink" Target="https://www.sec.gov/Archives/edgar/data/86312/000008631224000012/0000086312-24-000012-index.htm" TargetMode="External"/><Relationship Id="rId881" Type="http://schemas.openxmlformats.org/officeDocument/2006/relationships/hyperlink" Target="https://s26.q4cdn.com/410417801/files/doc_financials/2023/ar/Travelers-2023-Annual__Report.pdf" TargetMode="External"/><Relationship Id="rId882" Type="http://schemas.openxmlformats.org/officeDocument/2006/relationships/hyperlink" Target="https://www.sec.gov/Archives/edgar/data/86312/000008631224000012/0000086312-24-000012-index.htm" TargetMode="External"/><Relationship Id="rId883" Type="http://schemas.openxmlformats.org/officeDocument/2006/relationships/hyperlink" Target="https://s26.q4cdn.com/410417801/files/doc_financials/2023/ar/Travelers-2023-Annual__Report.pdf" TargetMode="External"/><Relationship Id="rId884" Type="http://schemas.openxmlformats.org/officeDocument/2006/relationships/hyperlink" Target="https://www.sec.gov/Archives/edgar/data/86312/000008631224000012/0000086312-24-000012-index.htm" TargetMode="External"/><Relationship Id="rId885" Type="http://schemas.openxmlformats.org/officeDocument/2006/relationships/hyperlink" Target="https://s26.q4cdn.com/410417801/files/doc_financials/2023/ar/Travelers-2023-Annual__Report.pdf" TargetMode="External"/><Relationship Id="rId886" Type="http://schemas.openxmlformats.org/officeDocument/2006/relationships/hyperlink" Target="https://www.sec.gov/Archives/edgar/data/86312/000008631224000012/0000086312-24-000012-index.htm" TargetMode="External"/><Relationship Id="rId887" Type="http://schemas.openxmlformats.org/officeDocument/2006/relationships/hyperlink" Target="https://s26.q4cdn.com/410417801/files/doc_financials/2023/ar/Travelers-2023-Annual__Report.pdf" TargetMode="External"/><Relationship Id="rId888" Type="http://schemas.openxmlformats.org/officeDocument/2006/relationships/hyperlink" Target="https://www.sec.gov/Archives/edgar/data/86312/000008631224000012/0000086312-24-000012-index.htm" TargetMode="External"/><Relationship Id="rId889" Type="http://schemas.openxmlformats.org/officeDocument/2006/relationships/hyperlink" Target="https://s26.q4cdn.com/410417801/files/doc_financials/2025/AR/2026-Travelers-Annual-Report-Final.pdf" TargetMode="External"/><Relationship Id="rId890" Type="http://schemas.openxmlformats.org/officeDocument/2006/relationships/hyperlink" Target="https://www.sec.gov/Archives/edgar/data/86312/000008631226000065/0000086312-26-000065-index.htm" TargetMode="External"/><Relationship Id="rId891" Type="http://schemas.openxmlformats.org/officeDocument/2006/relationships/hyperlink" Target="https://s26.q4cdn.com/410417801/files/doc_financials/2025/AR/2026-Travelers-Annual-Report-Final.pdf" TargetMode="External"/><Relationship Id="rId892" Type="http://schemas.openxmlformats.org/officeDocument/2006/relationships/hyperlink" Target="https://www.sec.gov/Archives/edgar/data/86312/000008631226000065/0000086312-26-000065-index.htm" TargetMode="External"/><Relationship Id="rId893" Type="http://schemas.openxmlformats.org/officeDocument/2006/relationships/hyperlink" Target="https://s26.q4cdn.com/410417801/files/doc_financials/2023/ar/Travelers-2023-Annual__Report.pdf" TargetMode="External"/><Relationship Id="rId894" Type="http://schemas.openxmlformats.org/officeDocument/2006/relationships/hyperlink" Target="https://www.sec.gov/Archives/edgar/data/86312/000008631224000012/0000086312-24-000012-index.htm" TargetMode="External"/><Relationship Id="rId895" Type="http://schemas.openxmlformats.org/officeDocument/2006/relationships/hyperlink" Target="https://s26.q4cdn.com/410417801/files/doc_financials/2025/AR/2026-Travelers-Annual-Report-Final.pdf" TargetMode="External"/><Relationship Id="rId896" Type="http://schemas.openxmlformats.org/officeDocument/2006/relationships/hyperlink" Target="https://www.sec.gov/Archives/edgar/data/86312/000008631226000065/0000086312-26-000065-index.htm" TargetMode="External"/><Relationship Id="rId897" Type="http://schemas.openxmlformats.org/officeDocument/2006/relationships/hyperlink" Target="https://s26.q4cdn.com/410417801/files/doc_financials/2025/AR/2026-Travelers-Annual-Report-Final.pdf" TargetMode="External"/><Relationship Id="rId898" Type="http://schemas.openxmlformats.org/officeDocument/2006/relationships/hyperlink" Target="https://www.sec.gov/Archives/edgar/data/86312/000008631226000065/0000086312-26-000065-index.htm" TargetMode="External"/><Relationship Id="rId899" Type="http://schemas.openxmlformats.org/officeDocument/2006/relationships/hyperlink" Target="https://s26.q4cdn.com/410417801/files/doc_financials/2025/AR/2026-Travelers-Annual-Report-Final.pdf" TargetMode="External"/><Relationship Id="rId900" Type="http://schemas.openxmlformats.org/officeDocument/2006/relationships/hyperlink" Target="https://www.sec.gov/Archives/edgar/data/86312/000008631226000065/0000086312-26-000065-index.htm" TargetMode="External"/><Relationship Id="rId901" Type="http://schemas.openxmlformats.org/officeDocument/2006/relationships/hyperlink" Target="https://s26.q4cdn.com/410417801/files/doc_financials/2023/ar/Travelers-2023-Annual__Report.pdf" TargetMode="External"/><Relationship Id="rId902" Type="http://schemas.openxmlformats.org/officeDocument/2006/relationships/hyperlink" Target="https://www.sec.gov/Archives/edgar/data/86312/000008631224000012/0000086312-24-000012-index.htm" TargetMode="External"/><Relationship Id="rId903" Type="http://schemas.openxmlformats.org/officeDocument/2006/relationships/hyperlink" Target="https://s26.q4cdn.com/410417801/files/doc_financials/2025/AR/2026-Travelers-Annual-Report-Final.pdf" TargetMode="External"/><Relationship Id="rId904" Type="http://schemas.openxmlformats.org/officeDocument/2006/relationships/hyperlink" Target="https://www.sec.gov/Archives/edgar/data/86312/000008631226000065/0000086312-26-000065-index.htm" TargetMode="External"/><Relationship Id="rId905" Type="http://schemas.openxmlformats.org/officeDocument/2006/relationships/hyperlink" Target="https://s26.q4cdn.com/410417801/files/doc_financials/2023/ar/Travelers-2023-Annual__Report.pdf" TargetMode="External"/><Relationship Id="rId906" Type="http://schemas.openxmlformats.org/officeDocument/2006/relationships/hyperlink" Target="https://www.sec.gov/Archives/edgar/data/86312/000008631224000012/0000086312-24-000012-index.htm" TargetMode="External"/><Relationship Id="rId907" Type="http://schemas.openxmlformats.org/officeDocument/2006/relationships/hyperlink" Target="https://s26.q4cdn.com/410417801/files/doc_financials/2023/ar/Travelers-2023-Annual__Report.pdf" TargetMode="External"/><Relationship Id="rId908" Type="http://schemas.openxmlformats.org/officeDocument/2006/relationships/hyperlink" Target="https://www.sec.gov/Archives/edgar/data/86312/000008631224000012/0000086312-24-000012-index.htm" TargetMode="External"/><Relationship Id="rId909" Type="http://schemas.openxmlformats.org/officeDocument/2006/relationships/hyperlink" Target="https://s26.q4cdn.com/410417801/files/doc_financials/2025/AR/2026-Travelers-Annual-Report-Final.pdf" TargetMode="External"/><Relationship Id="rId910" Type="http://schemas.openxmlformats.org/officeDocument/2006/relationships/hyperlink" Target="https://www.sec.gov/Archives/edgar/data/86312/000008631226000065/0000086312-26-000065-index.htm" TargetMode="External"/><Relationship Id="rId911" Type="http://schemas.openxmlformats.org/officeDocument/2006/relationships/hyperlink" Target="https://s26.q4cdn.com/410417801/files/doc_financials/2023/ar/Travelers-2023-Annual__Report.pdf" TargetMode="External"/><Relationship Id="rId912" Type="http://schemas.openxmlformats.org/officeDocument/2006/relationships/hyperlink" Target="https://www.sec.gov/Archives/edgar/data/86312/000008631224000012/0000086312-24-000012-index.htm" TargetMode="External"/><Relationship Id="rId913" Type="http://schemas.openxmlformats.org/officeDocument/2006/relationships/hyperlink" Target="https://s26.q4cdn.com/410417801/files/doc_financials/2025/AR/2026-Travelers-Annual-Report-Final.pdf" TargetMode="External"/><Relationship Id="rId914" Type="http://schemas.openxmlformats.org/officeDocument/2006/relationships/hyperlink" Target="https://www.sec.gov/Archives/edgar/data/86312/000008631226000065/0000086312-26-000065-index.htm" TargetMode="External"/><Relationship Id="rId915" Type="http://schemas.openxmlformats.org/officeDocument/2006/relationships/hyperlink" Target="https://s26.q4cdn.com/410417801/files/doc_financials/2023/ar/Travelers-2023-Annual__Report.pdf" TargetMode="External"/><Relationship Id="rId916" Type="http://schemas.openxmlformats.org/officeDocument/2006/relationships/hyperlink" Target="https://www.sec.gov/Archives/edgar/data/86312/000008631224000012/0000086312-24-000012-index.htm" TargetMode="External"/><Relationship Id="rId917" Type="http://schemas.openxmlformats.org/officeDocument/2006/relationships/hyperlink" Target="https://s26.q4cdn.com/410417801/files/doc_financials/2023/ar/Travelers-2023-Annual__Report.pdf" TargetMode="External"/><Relationship Id="rId918" Type="http://schemas.openxmlformats.org/officeDocument/2006/relationships/hyperlink" Target="https://www.sec.gov/Archives/edgar/data/86312/000008631224000012/0000086312-24-000012-index.htm" TargetMode="External"/><Relationship Id="rId919" Type="http://schemas.openxmlformats.org/officeDocument/2006/relationships/hyperlink" Target="https://s26.q4cdn.com/410417801/files/doc_financials/2024/ar/v2/Travelers-2024-Annual-Report.pdf" TargetMode="External"/><Relationship Id="rId920" Type="http://schemas.openxmlformats.org/officeDocument/2006/relationships/hyperlink" Target="https://www.sec.gov/Archives/edgar/data/86312/000008631225000012/0000086312-25-000012-index.htm" TargetMode="External"/><Relationship Id="rId921" Type="http://schemas.openxmlformats.org/officeDocument/2006/relationships/hyperlink" Target="https://s26.q4cdn.com/410417801/files/doc_financials/2025/AR/2026-Travelers-Annual-Report-Final.pdf" TargetMode="External"/><Relationship Id="rId922" Type="http://schemas.openxmlformats.org/officeDocument/2006/relationships/hyperlink" Target="https://www.sec.gov/Archives/edgar/data/86312/000008631226000065/0000086312-26-000065-index.htm" TargetMode="External"/><Relationship Id="rId923" Type="http://schemas.openxmlformats.org/officeDocument/2006/relationships/hyperlink" Target="https://s26.q4cdn.com/410417801/files/doc_financials/2025/AR/2026-Travelers-Annual-Report-Final.pdf" TargetMode="External"/><Relationship Id="rId924" Type="http://schemas.openxmlformats.org/officeDocument/2006/relationships/hyperlink" Target="https://www.sec.gov/Archives/edgar/data/86312/000008631226000065/0000086312-26-000065-index.htm" TargetMode="External"/><Relationship Id="rId925" Type="http://schemas.openxmlformats.org/officeDocument/2006/relationships/hyperlink" Target="https://s26.q4cdn.com/410417801/files/doc_financials/2025/AR/2026-Travelers-Annual-Report-Final.pdf" TargetMode="External"/><Relationship Id="rId926" Type="http://schemas.openxmlformats.org/officeDocument/2006/relationships/hyperlink" Target="https://www.sec.gov/Archives/edgar/data/86312/000008631226000065/0000086312-26-000065-index.htm" TargetMode="External"/><Relationship Id="rId927" Type="http://schemas.openxmlformats.org/officeDocument/2006/relationships/hyperlink" Target="https://s26.q4cdn.com/410417801/files/doc_financials/2025/AR/2026-Travelers-Annual-Report-Final.pdf" TargetMode="External"/><Relationship Id="rId928" Type="http://schemas.openxmlformats.org/officeDocument/2006/relationships/hyperlink" Target="https://www.sec.gov/Archives/edgar/data/86312/000008631226000065/0000086312-26-000065-index.htm" TargetMode="External"/><Relationship Id="rId929" Type="http://schemas.openxmlformats.org/officeDocument/2006/relationships/hyperlink" Target="https://s26.q4cdn.com/410417801/files/doc_financials/2025/AR/2026-Travelers-Annual-Report-Final.pdf" TargetMode="External"/><Relationship Id="rId930" Type="http://schemas.openxmlformats.org/officeDocument/2006/relationships/hyperlink" Target="https://www.sec.gov/Archives/edgar/data/86312/000008631226000065/0000086312-26-000065-index.htm" TargetMode="External"/><Relationship Id="rId931" Type="http://schemas.openxmlformats.org/officeDocument/2006/relationships/hyperlink" Target="https://s26.q4cdn.com/410417801/files/doc_financials/2024/ar/v2/Travelers-2024-Annual-Report.pdf" TargetMode="External"/><Relationship Id="rId932" Type="http://schemas.openxmlformats.org/officeDocument/2006/relationships/hyperlink" Target="https://www.sec.gov/Archives/edgar/data/86312/000008631225000012/0000086312-25-000012-index.htm" TargetMode="External"/><Relationship Id="rId933" Type="http://schemas.openxmlformats.org/officeDocument/2006/relationships/hyperlink" Target="https://s26.q4cdn.com/410417801/files/doc_financials/2024/ar/v2/Travelers-2024-Annual-Report.pdf" TargetMode="External"/><Relationship Id="rId934" Type="http://schemas.openxmlformats.org/officeDocument/2006/relationships/hyperlink" Target="https://www.sec.gov/Archives/edgar/data/86312/000008631225000012/0000086312-25-000012-index.htm" TargetMode="External"/><Relationship Id="rId935" Type="http://schemas.openxmlformats.org/officeDocument/2006/relationships/hyperlink" Target="https://s26.q4cdn.com/410417801/files/doc_financials/2025/AR/2026-Travelers-Annual-Report-Final.pdf" TargetMode="External"/><Relationship Id="rId936" Type="http://schemas.openxmlformats.org/officeDocument/2006/relationships/hyperlink" Target="https://www.sec.gov/Archives/edgar/data/86312/000008631226000065/0000086312-26-000065-index.htm" TargetMode="External"/><Relationship Id="rId937" Type="http://schemas.openxmlformats.org/officeDocument/2006/relationships/hyperlink" Target="https://s26.q4cdn.com/410417801/files/doc_financials/2025/AR/2026-Travelers-Annual-Report-Final.pdf" TargetMode="External"/><Relationship Id="rId938" Type="http://schemas.openxmlformats.org/officeDocument/2006/relationships/hyperlink" Target="https://www.sec.gov/Archives/edgar/data/86312/000008631226000065/0000086312-26-000065-index.htm" TargetMode="External"/><Relationship Id="rId939" Type="http://schemas.openxmlformats.org/officeDocument/2006/relationships/hyperlink" Target="https://s26.q4cdn.com/410417801/files/doc_financials/2025/AR/2026-Travelers-Annual-Report-Final.pdf" TargetMode="External"/><Relationship Id="rId940" Type="http://schemas.openxmlformats.org/officeDocument/2006/relationships/hyperlink" Target="https://www.sec.gov/Archives/edgar/data/86312/000008631226000065/0000086312-26-000065-index.htm" TargetMode="External"/><Relationship Id="rId941" Type="http://schemas.openxmlformats.org/officeDocument/2006/relationships/hyperlink" Target="https://s26.q4cdn.com/410417801/files/doc_financials/2025/AR/2026-Travelers-Annual-Report-Final.pdf" TargetMode="External"/><Relationship Id="rId942" Type="http://schemas.openxmlformats.org/officeDocument/2006/relationships/hyperlink" Target="https://www.sec.gov/Archives/edgar/data/86312/000008631226000065/0000086312-26-000065-index.htm" TargetMode="External"/><Relationship Id="rId943" Type="http://schemas.openxmlformats.org/officeDocument/2006/relationships/hyperlink" Target="https://s26.q4cdn.com/410417801/files/doc_financials/2025/AR/2026-Travelers-Annual-Report-Final.pdf" TargetMode="External"/><Relationship Id="rId944" Type="http://schemas.openxmlformats.org/officeDocument/2006/relationships/hyperlink" Target="https://www.sec.gov/Archives/edgar/data/86312/000008631226000065/0000086312-26-000065-index.htm" TargetMode="External"/><Relationship Id="rId945" Type="http://schemas.openxmlformats.org/officeDocument/2006/relationships/hyperlink" Target="https://s26.q4cdn.com/410417801/files/doc_financials/2025/AR/2026-Travelers-Annual-Report-Final.pdf" TargetMode="External"/><Relationship Id="rId946" Type="http://schemas.openxmlformats.org/officeDocument/2006/relationships/hyperlink" Target="https://www.sec.gov/Archives/edgar/data/86312/000008631226000065/0000086312-26-000065-index.htm" TargetMode="External"/><Relationship Id="rId947" Type="http://schemas.openxmlformats.org/officeDocument/2006/relationships/hyperlink" Target="https://s26.q4cdn.com/410417801/files/doc_financials/2025/AR/2026-Travelers-Annual-Report-Final.pdf" TargetMode="External"/><Relationship Id="rId948" Type="http://schemas.openxmlformats.org/officeDocument/2006/relationships/hyperlink" Target="https://www.sec.gov/Archives/edgar/data/86312/000008631226000065/0000086312-26-000065-index.htm" TargetMode="External"/><Relationship Id="rId949" Type="http://schemas.openxmlformats.org/officeDocument/2006/relationships/hyperlink" Target="https://s26.q4cdn.com/410417801/files/doc_financials/2024/ar/v2/Travelers-2024-Annual-Report.pdf" TargetMode="External"/><Relationship Id="rId950" Type="http://schemas.openxmlformats.org/officeDocument/2006/relationships/hyperlink" Target="https://www.sec.gov/Archives/edgar/data/86312/000008631225000012/0000086312-25-000012-index.htm" TargetMode="External"/><Relationship Id="rId951" Type="http://schemas.openxmlformats.org/officeDocument/2006/relationships/hyperlink" Target="https://s26.q4cdn.com/410417801/files/doc_financials/2025/AR/2026-Travelers-Annual-Report-Final.pdf" TargetMode="External"/><Relationship Id="rId952" Type="http://schemas.openxmlformats.org/officeDocument/2006/relationships/hyperlink" Target="https://www.sec.gov/Archives/edgar/data/86312/000008631226000065/0000086312-26-000065-index.htm" TargetMode="External"/><Relationship Id="rId953" Type="http://schemas.openxmlformats.org/officeDocument/2006/relationships/hyperlink" Target="https://s26.q4cdn.com/410417801/files/doc_financials/2025/AR/2026-Travelers-Annual-Report-Final.pdf" TargetMode="External"/><Relationship Id="rId954" Type="http://schemas.openxmlformats.org/officeDocument/2006/relationships/hyperlink" Target="https://www.sec.gov/Archives/edgar/data/86312/000008631226000065/0000086312-26-000065-index.htm" TargetMode="External"/><Relationship Id="rId955" Type="http://schemas.openxmlformats.org/officeDocument/2006/relationships/hyperlink" Target="https://s26.q4cdn.com/410417801/files/doc_financials/2025/AR/2026-Travelers-Annual-Report-Final.pdf" TargetMode="External"/><Relationship Id="rId956" Type="http://schemas.openxmlformats.org/officeDocument/2006/relationships/hyperlink" Target="https://www.sec.gov/Archives/edgar/data/86312/000008631226000065/0000086312-26-000065-index.htm" TargetMode="External"/><Relationship Id="rId957" Type="http://schemas.openxmlformats.org/officeDocument/2006/relationships/hyperlink" Target="https://s26.q4cdn.com/410417801/files/doc_financials/2025/AR/2026-Travelers-Annual-Report-Final.pdf" TargetMode="External"/><Relationship Id="rId958" Type="http://schemas.openxmlformats.org/officeDocument/2006/relationships/hyperlink" Target="https://www.sec.gov/Archives/edgar/data/86312/000008631226000065/0000086312-26-000065-index.htm" TargetMode="External"/><Relationship Id="rId959" Type="http://schemas.openxmlformats.org/officeDocument/2006/relationships/hyperlink" Target="https://s26.q4cdn.com/410417801/files/doc_financials/2025/AR/2026-Travelers-Annual-Report-Final.pdf" TargetMode="External"/><Relationship Id="rId960" Type="http://schemas.openxmlformats.org/officeDocument/2006/relationships/hyperlink" Target="https://www.sec.gov/Archives/edgar/data/86312/000008631226000065/0000086312-26-000065-index.htm" TargetMode="External"/><Relationship Id="rId961" Type="http://schemas.openxmlformats.org/officeDocument/2006/relationships/hyperlink" Target="https://s26.q4cdn.com/410417801/files/doc_financials/2025/AR/2026-Travelers-Annual-Report-Final.pdf" TargetMode="External"/><Relationship Id="rId962" Type="http://schemas.openxmlformats.org/officeDocument/2006/relationships/hyperlink" Target="https://www.sec.gov/Archives/edgar/data/86312/000008631226000065/0000086312-26-000065-index.htm" TargetMode="External"/><Relationship Id="rId963" Type="http://schemas.openxmlformats.org/officeDocument/2006/relationships/hyperlink" Target="https://s26.q4cdn.com/410417801/files/doc_financials/2025/AR/2026-Travelers-Annual-Report-Final.pdf" TargetMode="External"/><Relationship Id="rId964" Type="http://schemas.openxmlformats.org/officeDocument/2006/relationships/hyperlink" Target="https://www.sec.gov/Archives/edgar/data/86312/000008631226000065/0000086312-26-000065-index.htm" TargetMode="External"/><Relationship Id="rId965" Type="http://schemas.openxmlformats.org/officeDocument/2006/relationships/hyperlink" Target="https://s26.q4cdn.com/410417801/files/doc_financials/2025/AR/2026-Travelers-Annual-Report-Final.pdf" TargetMode="External"/><Relationship Id="rId966" Type="http://schemas.openxmlformats.org/officeDocument/2006/relationships/hyperlink" Target="https://www.sec.gov/Archives/edgar/data/86312/000008631226000065/0000086312-26-000065-index.htm" TargetMode="External"/><Relationship Id="rId967" Type="http://schemas.openxmlformats.org/officeDocument/2006/relationships/hyperlink" Target="https://s26.q4cdn.com/410417801/files/doc_financials/2025/AR/2026-Travelers-Annual-Report-Final.pdf" TargetMode="External"/><Relationship Id="rId968" Type="http://schemas.openxmlformats.org/officeDocument/2006/relationships/hyperlink" Target="https://www.sec.gov/Archives/edgar/data/86312/000008631226000065/0000086312-26-000065-index.htm" TargetMode="External"/><Relationship Id="rId969" Type="http://schemas.openxmlformats.org/officeDocument/2006/relationships/hyperlink" Target="https://s26.q4cdn.com/410417801/files/doc_financials/2025/AR/2026-Travelers-Annual-Report-Final.pdf" TargetMode="External"/><Relationship Id="rId970" Type="http://schemas.openxmlformats.org/officeDocument/2006/relationships/hyperlink" Target="https://www.sec.gov/Archives/edgar/data/86312/000008631226000065/0000086312-26-000065-index.htm" TargetMode="External"/><Relationship Id="rId971" Type="http://schemas.openxmlformats.org/officeDocument/2006/relationships/hyperlink" Target="https://s26.q4cdn.com/410417801/files/doc_financials/2025/AR/2026-Travelers-Annual-Report-Final.pdf" TargetMode="External"/><Relationship Id="rId972" Type="http://schemas.openxmlformats.org/officeDocument/2006/relationships/hyperlink" Target="https://www.sec.gov/Archives/edgar/data/86312/000008631226000065/0000086312-26-000065-index.htm" TargetMode="External"/><Relationship Id="rId973" Type="http://schemas.openxmlformats.org/officeDocument/2006/relationships/hyperlink" Target="https://s26.q4cdn.com/410417801/files/doc_financials/2025/AR/2026-Travelers-Annual-Report-Final.pdf" TargetMode="External"/><Relationship Id="rId974" Type="http://schemas.openxmlformats.org/officeDocument/2006/relationships/hyperlink" Target="https://www.sec.gov/Archives/edgar/data/86312/000008631226000065/0000086312-26-000065-index.htm" TargetMode="External"/><Relationship Id="rId975" Type="http://schemas.openxmlformats.org/officeDocument/2006/relationships/hyperlink" Target="https://s26.q4cdn.com/410417801/files/doc_financials/2024/ar/v2/Travelers-2024-Annual-Report.pdf" TargetMode="External"/><Relationship Id="rId976" Type="http://schemas.openxmlformats.org/officeDocument/2006/relationships/hyperlink" Target="https://www.sec.gov/Archives/edgar/data/86312/000008631225000012/0000086312-25-000012-index.htm" TargetMode="External"/><Relationship Id="rId977" Type="http://schemas.openxmlformats.org/officeDocument/2006/relationships/hyperlink" Target="https://s26.q4cdn.com/410417801/files/doc_financials/2025/AR/2026-Travelers-Annual-Report-Final.pdf" TargetMode="External"/><Relationship Id="rId978" Type="http://schemas.openxmlformats.org/officeDocument/2006/relationships/hyperlink" Target="https://www.sec.gov/Archives/edgar/data/86312/000008631226000065/0000086312-26-000065-index.htm" TargetMode="External"/><Relationship Id="rId979" Type="http://schemas.openxmlformats.org/officeDocument/2006/relationships/hyperlink" Target="https://s26.q4cdn.com/410417801/files/doc_financials/2025/AR/2026-Travelers-Annual-Report-Final.pdf" TargetMode="External"/><Relationship Id="rId980" Type="http://schemas.openxmlformats.org/officeDocument/2006/relationships/hyperlink" Target="https://www.sec.gov/Archives/edgar/data/86312/000008631226000065/0000086312-26-000065-index.htm" TargetMode="External"/><Relationship Id="rId981" Type="http://schemas.openxmlformats.org/officeDocument/2006/relationships/hyperlink" Target="https://s26.q4cdn.com/410417801/files/doc_financials/2024/ar/v2/Travelers-2024-Annual-Report.pdf" TargetMode="External"/><Relationship Id="rId982" Type="http://schemas.openxmlformats.org/officeDocument/2006/relationships/hyperlink" Target="https://www.sec.gov/Archives/edgar/data/86312/000008631225000012/0000086312-25-000012-index.htm" TargetMode="External"/><Relationship Id="rId983" Type="http://schemas.openxmlformats.org/officeDocument/2006/relationships/hyperlink" Target="https://s26.q4cdn.com/410417801/files/doc_financials/2025/AR/2026-Travelers-Annual-Report-Final.pdf" TargetMode="External"/><Relationship Id="rId984" Type="http://schemas.openxmlformats.org/officeDocument/2006/relationships/hyperlink" Target="https://www.sec.gov/Archives/edgar/data/86312/000008631226000065/0000086312-26-000065-index.htm" TargetMode="External"/><Relationship Id="rId985" Type="http://schemas.openxmlformats.org/officeDocument/2006/relationships/hyperlink" Target="https://s26.q4cdn.com/410417801/files/doc_financials/2025/AR/2026-Travelers-Annual-Report-Final.pdf" TargetMode="External"/><Relationship Id="rId986" Type="http://schemas.openxmlformats.org/officeDocument/2006/relationships/hyperlink" Target="https://www.sec.gov/Archives/edgar/data/86312/000008631226000065/0000086312-26-000065-index.htm" TargetMode="External"/><Relationship Id="rId987" Type="http://schemas.openxmlformats.org/officeDocument/2006/relationships/hyperlink" Target="https://s26.q4cdn.com/410417801/files/doc_financials/2025/AR/2026-Travelers-Annual-Report-Final.pdf" TargetMode="External"/><Relationship Id="rId988" Type="http://schemas.openxmlformats.org/officeDocument/2006/relationships/hyperlink" Target="https://www.sec.gov/Archives/edgar/data/86312/000008631226000065/0000086312-26-000065-index.htm" TargetMode="External"/><Relationship Id="rId989" Type="http://schemas.openxmlformats.org/officeDocument/2006/relationships/hyperlink" Target="https://s26.q4cdn.com/410417801/files/doc_financials/2025/AR/2026-Travelers-Annual-Report-Final.pdf" TargetMode="External"/><Relationship Id="rId990" Type="http://schemas.openxmlformats.org/officeDocument/2006/relationships/hyperlink" Target="https://www.sec.gov/Archives/edgar/data/86312/000008631226000065/0000086312-26-000065-index.htm" TargetMode="External"/><Relationship Id="rId991" Type="http://schemas.openxmlformats.org/officeDocument/2006/relationships/hyperlink" Target="https://s26.q4cdn.com/410417801/files/doc_financials/2025/AR/2026-Travelers-Annual-Report-Final.pdf" TargetMode="External"/><Relationship Id="rId992" Type="http://schemas.openxmlformats.org/officeDocument/2006/relationships/hyperlink" Target="https://www.sec.gov/Archives/edgar/data/86312/000008631226000065/0000086312-26-000065-index.htm" TargetMode="External"/><Relationship Id="rId993" Type="http://schemas.openxmlformats.org/officeDocument/2006/relationships/hyperlink" Target="https://s26.q4cdn.com/410417801/files/doc_financials/2025/AR/2026-Travelers-Annual-Report-Final.pdf" TargetMode="External"/><Relationship Id="rId994" Type="http://schemas.openxmlformats.org/officeDocument/2006/relationships/hyperlink" Target="https://www.sec.gov/Archives/edgar/data/86312/000008631226000065/0000086312-26-000065-index.htm" TargetMode="External"/><Relationship Id="rId995" Type="http://schemas.openxmlformats.org/officeDocument/2006/relationships/hyperlink" Target="https://s26.q4cdn.com/410417801/files/doc_financials/2025/AR/2026-Travelers-Annual-Report-Final.pdf" TargetMode="External"/><Relationship Id="rId996" Type="http://schemas.openxmlformats.org/officeDocument/2006/relationships/hyperlink" Target="https://www.sec.gov/Archives/edgar/data/86312/000008631226000065/0000086312-26-000065-index.htm" TargetMode="External"/><Relationship Id="rId997" Type="http://schemas.openxmlformats.org/officeDocument/2006/relationships/hyperlink" Target="https://s26.q4cdn.com/410417801/files/doc_financials/2025/AR/2026-Travelers-Annual-Report-Final.pdf" TargetMode="External"/><Relationship Id="rId998" Type="http://schemas.openxmlformats.org/officeDocument/2006/relationships/hyperlink" Target="https://www.sec.gov/Archives/edgar/data/86312/000008631226000065/0000086312-26-000065-index.htm" TargetMode="External"/><Relationship Id="rId999" Type="http://schemas.openxmlformats.org/officeDocument/2006/relationships/hyperlink" Target="https://s26.q4cdn.com/410417801/files/doc_financials/2025/AR/2026-Travelers-Annual-Report-Final.pdf" TargetMode="External"/><Relationship Id="rId1000" Type="http://schemas.openxmlformats.org/officeDocument/2006/relationships/hyperlink" Target="https://www.sec.gov/Archives/edgar/data/86312/000008631226000065/0000086312-26-000065-index.htm" TargetMode="External"/><Relationship Id="rId1001" Type="http://schemas.openxmlformats.org/officeDocument/2006/relationships/hyperlink" Target="https://s26.q4cdn.com/410417801/files/doc_financials/2024/ar/v2/Travelers-2024-Annual-Report.pdf" TargetMode="External"/><Relationship Id="rId1002" Type="http://schemas.openxmlformats.org/officeDocument/2006/relationships/hyperlink" Target="https://www.sec.gov/Archives/edgar/data/86312/000008631225000012/0000086312-25-000012-index.htm" TargetMode="External"/><Relationship Id="rId1003" Type="http://schemas.openxmlformats.org/officeDocument/2006/relationships/hyperlink" Target="https://s26.q4cdn.com/410417801/files/doc_financials/2025/AR/2026-Travelers-Annual-Report-Final.pdf" TargetMode="External"/><Relationship Id="rId1004" Type="http://schemas.openxmlformats.org/officeDocument/2006/relationships/hyperlink" Target="https://www.sec.gov/Archives/edgar/data/86312/000008631226000065/0000086312-26-000065-index.htm" TargetMode="External"/><Relationship Id="rId1005" Type="http://schemas.openxmlformats.org/officeDocument/2006/relationships/hyperlink" Target="https://s26.q4cdn.com/410417801/files/doc_financials/2025/AR/2026-Travelers-Annual-Report-Final.pdf" TargetMode="External"/><Relationship Id="rId1006" Type="http://schemas.openxmlformats.org/officeDocument/2006/relationships/hyperlink" Target="https://www.sec.gov/Archives/edgar/data/86312/000008631226000065/0000086312-26-000065-index.htm" TargetMode="External"/><Relationship Id="rId1007" Type="http://schemas.openxmlformats.org/officeDocument/2006/relationships/hyperlink" Target="https://s26.q4cdn.com/410417801/files/doc_financials/2025/AR/2026-Travelers-Annual-Report-Final.pdf" TargetMode="External"/><Relationship Id="rId1008" Type="http://schemas.openxmlformats.org/officeDocument/2006/relationships/hyperlink" Target="https://www.sec.gov/Archives/edgar/data/86312/000008631226000065/0000086312-26-000065-index.htm" TargetMode="External"/><Relationship Id="rId1009" Type="http://schemas.openxmlformats.org/officeDocument/2006/relationships/hyperlink" Target="https://s26.q4cdn.com/410417801/files/doc_financials/2024/ar/v2/Travelers-2024-Annual-Report.pdf" TargetMode="External"/><Relationship Id="rId1010" Type="http://schemas.openxmlformats.org/officeDocument/2006/relationships/hyperlink" Target="https://www.sec.gov/Archives/edgar/data/86312/000008631225000012/0000086312-25-000012-index.htm" TargetMode="External"/><Relationship Id="rId1011" Type="http://schemas.openxmlformats.org/officeDocument/2006/relationships/hyperlink" Target="https://s26.q4cdn.com/410417801/files/doc_financials/2025/AR/2026-Travelers-Annual-Report-Final.pdf" TargetMode="External"/><Relationship Id="rId1012" Type="http://schemas.openxmlformats.org/officeDocument/2006/relationships/hyperlink" Target="https://www.sec.gov/Archives/edgar/data/86312/000008631226000065/0000086312-26-000065-index.htm" TargetMode="External"/><Relationship Id="rId1013" Type="http://schemas.openxmlformats.org/officeDocument/2006/relationships/hyperlink" Target="https://s26.q4cdn.com/410417801/files/doc_financials/2025/AR/2026-Travelers-Annual-Report-Final.pdf" TargetMode="External"/><Relationship Id="rId1014" Type="http://schemas.openxmlformats.org/officeDocument/2006/relationships/hyperlink" Target="https://www.sec.gov/Archives/edgar/data/86312/000008631226000065/0000086312-26-000065-index.htm" TargetMode="External"/><Relationship Id="rId1015" Type="http://schemas.openxmlformats.org/officeDocument/2006/relationships/hyperlink" Target="https://s26.q4cdn.com/410417801/files/doc_financials/2025/AR/2026-Travelers-Annual-Report-Final.pdf" TargetMode="External"/><Relationship Id="rId1016" Type="http://schemas.openxmlformats.org/officeDocument/2006/relationships/hyperlink" Target="https://www.sec.gov/Archives/edgar/data/86312/000008631226000065/0000086312-26-000065-index.htm" TargetMode="External"/><Relationship Id="rId1017" Type="http://schemas.openxmlformats.org/officeDocument/2006/relationships/hyperlink" Target="https://s26.q4cdn.com/410417801/files/doc_financials/2024/ar/v2/Travelers-2024-Annual-Report.pdf" TargetMode="External"/><Relationship Id="rId1018" Type="http://schemas.openxmlformats.org/officeDocument/2006/relationships/hyperlink" Target="https://www.sec.gov/Archives/edgar/data/86312/000008631225000012/0000086312-25-000012-index.htm" TargetMode="External"/><Relationship Id="rId1019" Type="http://schemas.openxmlformats.org/officeDocument/2006/relationships/hyperlink" Target="https://s26.q4cdn.com/410417801/files/doc_financials/2024/ar/v2/Travelers-2024-Annual-Report.pdf" TargetMode="External"/><Relationship Id="rId1020" Type="http://schemas.openxmlformats.org/officeDocument/2006/relationships/hyperlink" Target="https://www.sec.gov/Archives/edgar/data/86312/000008631225000012/0000086312-25-000012-index.htm" TargetMode="External"/><Relationship Id="rId1021" Type="http://schemas.openxmlformats.org/officeDocument/2006/relationships/hyperlink" Target="https://s26.q4cdn.com/410417801/files/doc_financials/2025/AR/2026-Travelers-Annual-Report-Final.pdf" TargetMode="External"/><Relationship Id="rId1022" Type="http://schemas.openxmlformats.org/officeDocument/2006/relationships/hyperlink" Target="https://www.sec.gov/Archives/edgar/data/86312/000008631226000065/0000086312-26-000065-index.htm" TargetMode="External"/><Relationship Id="rId1023" Type="http://schemas.openxmlformats.org/officeDocument/2006/relationships/hyperlink" Target="https://s26.q4cdn.com/410417801/files/doc_financials/2025/AR/2026-Travelers-Annual-Report-Final.pdf" TargetMode="External"/><Relationship Id="rId1024" Type="http://schemas.openxmlformats.org/officeDocument/2006/relationships/hyperlink" Target="https://www.sec.gov/Archives/edgar/data/86312/000008631226000065/0000086312-26-000065-index.htm" TargetMode="External"/><Relationship Id="rId1025" Type="http://schemas.openxmlformats.org/officeDocument/2006/relationships/hyperlink" Target="https://s26.q4cdn.com/410417801/files/doc_financials/2025/AR/2026-Travelers-Annual-Report-Final.pdf" TargetMode="External"/><Relationship Id="rId1026" Type="http://schemas.openxmlformats.org/officeDocument/2006/relationships/hyperlink" Target="https://www.sec.gov/Archives/edgar/data/86312/000008631226000065/0000086312-26-000065-index.htm" TargetMode="External"/><Relationship Id="rId1027" Type="http://schemas.openxmlformats.org/officeDocument/2006/relationships/hyperlink" Target="https://s26.q4cdn.com/410417801/files/doc_financials/2025/AR/2026-Travelers-Annual-Report-Final.pdf" TargetMode="External"/><Relationship Id="rId1028" Type="http://schemas.openxmlformats.org/officeDocument/2006/relationships/hyperlink" Target="https://www.sec.gov/Archives/edgar/data/86312/000008631226000065/0000086312-26-000065-index.htm" TargetMode="External"/><Relationship Id="rId1029" Type="http://schemas.openxmlformats.org/officeDocument/2006/relationships/hyperlink" Target="https://s26.q4cdn.com/410417801/files/doc_financials/2025/AR/2026-Travelers-Annual-Report-Final.pdf" TargetMode="External"/><Relationship Id="rId1030" Type="http://schemas.openxmlformats.org/officeDocument/2006/relationships/hyperlink" Target="https://www.sec.gov/Archives/edgar/data/86312/000008631226000065/0000086312-26-000065-index.htm" TargetMode="External"/><Relationship Id="rId1031" Type="http://schemas.openxmlformats.org/officeDocument/2006/relationships/hyperlink" Target="https://s26.q4cdn.com/410417801/files/doc_financials/2025/AR/2026-Travelers-Annual-Report-Final.pdf" TargetMode="External"/><Relationship Id="rId1032" Type="http://schemas.openxmlformats.org/officeDocument/2006/relationships/hyperlink" Target="https://www.sec.gov/Archives/edgar/data/86312/000008631226000065/0000086312-26-000065-index.htm" TargetMode="External"/><Relationship Id="rId1033" Type="http://schemas.openxmlformats.org/officeDocument/2006/relationships/hyperlink" Target="https://s26.q4cdn.com/410417801/files/doc_financials/2025/AR/2026-Travelers-Annual-Report-Final.pdf" TargetMode="External"/><Relationship Id="rId1034" Type="http://schemas.openxmlformats.org/officeDocument/2006/relationships/hyperlink" Target="https://www.sec.gov/Archives/edgar/data/86312/000008631226000065/0000086312-26-000065-index.htm" TargetMode="External"/><Relationship Id="rId1035" Type="http://schemas.openxmlformats.org/officeDocument/2006/relationships/hyperlink" Target="https://s26.q4cdn.com/410417801/files/doc_financials/2024/ar/v2/Travelers-2024-Annual-Report.pdf" TargetMode="External"/><Relationship Id="rId1036" Type="http://schemas.openxmlformats.org/officeDocument/2006/relationships/hyperlink" Target="https://www.sec.gov/Archives/edgar/data/86312/000008631225000012/0000086312-25-000012-index.htm" TargetMode="External"/><Relationship Id="rId1037" Type="http://schemas.openxmlformats.org/officeDocument/2006/relationships/hyperlink" Target="https://s26.q4cdn.com/410417801/files/doc_financials/2025/AR/2026-Travelers-Annual-Report-Final.pdf" TargetMode="External"/><Relationship Id="rId1038" Type="http://schemas.openxmlformats.org/officeDocument/2006/relationships/hyperlink" Target="https://www.sec.gov/Archives/edgar/data/86312/000008631226000065/0000086312-26-000065-index.htm" TargetMode="External"/><Relationship Id="rId1039" Type="http://schemas.openxmlformats.org/officeDocument/2006/relationships/hyperlink" Target="https://s26.q4cdn.com/410417801/files/doc_financials/2025/AR/2026-Travelers-Annual-Report-Final.pdf" TargetMode="External"/><Relationship Id="rId1040" Type="http://schemas.openxmlformats.org/officeDocument/2006/relationships/hyperlink" Target="https://www.sec.gov/Archives/edgar/data/86312/000008631226000065/0000086312-26-000065-index.htm" TargetMode="External"/><Relationship Id="rId1041" Type="http://schemas.openxmlformats.org/officeDocument/2006/relationships/hyperlink" Target="https://s26.q4cdn.com/410417801/files/doc_financials/2025/AR/2026-Travelers-Annual-Report-Final.pdf" TargetMode="External"/><Relationship Id="rId1042" Type="http://schemas.openxmlformats.org/officeDocument/2006/relationships/hyperlink" Target="https://www.sec.gov/Archives/edgar/data/86312/000008631226000065/0000086312-26-000065-index.htm" TargetMode="External"/><Relationship Id="rId1043" Type="http://schemas.openxmlformats.org/officeDocument/2006/relationships/hyperlink" Target="https://s26.q4cdn.com/410417801/files/doc_financials/2025/AR/2026-Travelers-Annual-Report-Final.pdf" TargetMode="External"/><Relationship Id="rId1044" Type="http://schemas.openxmlformats.org/officeDocument/2006/relationships/hyperlink" Target="https://www.sec.gov/Archives/edgar/data/86312/000008631226000065/0000086312-26-000065-index.htm" TargetMode="External"/><Relationship Id="rId1045" Type="http://schemas.openxmlformats.org/officeDocument/2006/relationships/hyperlink" Target="https://s26.q4cdn.com/410417801/files/doc_financials/2025/AR/2026-Travelers-Annual-Report-Final.pdf" TargetMode="External"/><Relationship Id="rId1046" Type="http://schemas.openxmlformats.org/officeDocument/2006/relationships/hyperlink" Target="https://www.sec.gov/Archives/edgar/data/86312/000008631226000065/0000086312-26-000065-index.htm" TargetMode="External"/><Relationship Id="rId1047" Type="http://schemas.openxmlformats.org/officeDocument/2006/relationships/hyperlink" Target="https://s26.q4cdn.com/410417801/files/doc_financials/2025/AR/2026-Travelers-Annual-Report-Final.pdf" TargetMode="External"/><Relationship Id="rId1048" Type="http://schemas.openxmlformats.org/officeDocument/2006/relationships/hyperlink" Target="https://www.sec.gov/Archives/edgar/data/86312/000008631226000065/0000086312-26-000065-index.htm" TargetMode="External"/><Relationship Id="rId1049" Type="http://schemas.openxmlformats.org/officeDocument/2006/relationships/hyperlink" Target="https://s26.q4cdn.com/410417801/files/doc_financials/2025/AR/2026-Travelers-Annual-Report-Final.pdf" TargetMode="External"/><Relationship Id="rId1050" Type="http://schemas.openxmlformats.org/officeDocument/2006/relationships/hyperlink" Target="https://www.sec.gov/Archives/edgar/data/86312/000008631226000065/0000086312-26-000065-index.htm" TargetMode="External"/><Relationship Id="rId1051" Type="http://schemas.openxmlformats.org/officeDocument/2006/relationships/hyperlink" Target="https://s26.q4cdn.com/410417801/files/doc_financials/2024/ar/v2/Travelers-2024-Annual-Report.pdf" TargetMode="External"/><Relationship Id="rId1052" Type="http://schemas.openxmlformats.org/officeDocument/2006/relationships/hyperlink" Target="https://www.sec.gov/Archives/edgar/data/86312/000008631225000012/0000086312-25-000012-index.htm" TargetMode="External"/><Relationship Id="rId1053" Type="http://schemas.openxmlformats.org/officeDocument/2006/relationships/hyperlink" Target="https://s26.q4cdn.com/410417801/files/doc_financials/2025/AR/2026-Travelers-Annual-Report-Final.pdf" TargetMode="External"/><Relationship Id="rId1054" Type="http://schemas.openxmlformats.org/officeDocument/2006/relationships/hyperlink" Target="https://www.sec.gov/Archives/edgar/data/86312/000008631226000065/0000086312-26-000065-index.htm" TargetMode="External"/><Relationship Id="rId1055" Type="http://schemas.openxmlformats.org/officeDocument/2006/relationships/hyperlink" Target="https://s26.q4cdn.com/410417801/files/doc_financials/2025/AR/2026-Travelers-Annual-Report-Final.pdf" TargetMode="External"/><Relationship Id="rId1056" Type="http://schemas.openxmlformats.org/officeDocument/2006/relationships/hyperlink" Target="https://www.sec.gov/Archives/edgar/data/86312/000008631226000065/0000086312-26-000065-index.htm" TargetMode="External"/><Relationship Id="rId1057" Type="http://schemas.openxmlformats.org/officeDocument/2006/relationships/hyperlink" Target="https://s26.q4cdn.com/410417801/files/doc_financials/2025/AR/2026-Travelers-Annual-Report-Final.pdf" TargetMode="External"/><Relationship Id="rId1058" Type="http://schemas.openxmlformats.org/officeDocument/2006/relationships/hyperlink" Target="https://www.sec.gov/Archives/edgar/data/86312/000008631226000065/0000086312-26-000065-index.htm" TargetMode="External"/><Relationship Id="rId1059" Type="http://schemas.openxmlformats.org/officeDocument/2006/relationships/hyperlink" Target="https://s26.q4cdn.com/410417801/files/doc_financials/2025/AR/2026-Travelers-Annual-Report-Final.pdf" TargetMode="External"/><Relationship Id="rId1060" Type="http://schemas.openxmlformats.org/officeDocument/2006/relationships/hyperlink" Target="https://www.sec.gov/Archives/edgar/data/86312/000008631226000065/0000086312-26-000065-index.htm" TargetMode="External"/><Relationship Id="rId1061" Type="http://schemas.openxmlformats.org/officeDocument/2006/relationships/hyperlink" Target="https://s26.q4cdn.com/410417801/files/doc_financials/2025/AR/2026-Travelers-Annual-Report-Final.pdf" TargetMode="External"/><Relationship Id="rId1062" Type="http://schemas.openxmlformats.org/officeDocument/2006/relationships/hyperlink" Target="https://www.sec.gov/Archives/edgar/data/86312/000008631226000065/0000086312-26-000065-index.htm" TargetMode="External"/><Relationship Id="rId1063" Type="http://schemas.openxmlformats.org/officeDocument/2006/relationships/hyperlink" Target="https://s26.q4cdn.com/410417801/files/doc_financials/2024/ar/v2/Travelers-2024-Annual-Report.pdf" TargetMode="External"/><Relationship Id="rId1064" Type="http://schemas.openxmlformats.org/officeDocument/2006/relationships/hyperlink" Target="https://www.sec.gov/Archives/edgar/data/86312/000008631225000012/0000086312-25-000012-index.htm" TargetMode="External"/><Relationship Id="rId1065" Type="http://schemas.openxmlformats.org/officeDocument/2006/relationships/hyperlink" Target="https://s26.q4cdn.com/410417801/files/doc_financials/2025/AR/2026-Travelers-Annual-Report-Final.pdf" TargetMode="External"/><Relationship Id="rId1066" Type="http://schemas.openxmlformats.org/officeDocument/2006/relationships/hyperlink" Target="https://www.sec.gov/Archives/edgar/data/86312/000008631226000065/0000086312-26-000065-index.htm" TargetMode="External"/><Relationship Id="rId1067" Type="http://schemas.openxmlformats.org/officeDocument/2006/relationships/hyperlink" Target="https://s26.q4cdn.com/410417801/files/doc_financials/2025/AR/2026-Travelers-Annual-Report-Final.pdf" TargetMode="External"/><Relationship Id="rId1068" Type="http://schemas.openxmlformats.org/officeDocument/2006/relationships/hyperlink" Target="https://www.sec.gov/Archives/edgar/data/86312/000008631226000065/0000086312-26-000065-index.htm" TargetMode="External"/><Relationship Id="rId1069" Type="http://schemas.openxmlformats.org/officeDocument/2006/relationships/hyperlink" Target="https://s26.q4cdn.com/410417801/files/doc_financials/2025/AR/2026-Travelers-Annual-Report-Final.pdf" TargetMode="External"/><Relationship Id="rId1070" Type="http://schemas.openxmlformats.org/officeDocument/2006/relationships/hyperlink" Target="https://www.sec.gov/Archives/edgar/data/86312/000008631226000065/0000086312-26-000065-index.htm" TargetMode="External"/><Relationship Id="rId1071" Type="http://schemas.openxmlformats.org/officeDocument/2006/relationships/hyperlink" Target="https://s26.q4cdn.com/410417801/files/doc_financials/2025/AR/2026-Travelers-Annual-Report-Final.pdf" TargetMode="External"/><Relationship Id="rId1072" Type="http://schemas.openxmlformats.org/officeDocument/2006/relationships/hyperlink" Target="https://www.sec.gov/Archives/edgar/data/86312/000008631226000065/0000086312-26-000065-index.htm" TargetMode="External"/><Relationship Id="rId1073" Type="http://schemas.openxmlformats.org/officeDocument/2006/relationships/hyperlink" Target="https://s26.q4cdn.com/410417801/files/doc_financials/2024/ar/v2/Travelers-2024-Annual-Report.pdf" TargetMode="External"/><Relationship Id="rId1074" Type="http://schemas.openxmlformats.org/officeDocument/2006/relationships/hyperlink" Target="https://www.sec.gov/Archives/edgar/data/86312/000008631225000012/0000086312-25-000012-index.htm" TargetMode="External"/><Relationship Id="rId1075" Type="http://schemas.openxmlformats.org/officeDocument/2006/relationships/hyperlink" Target="https://s26.q4cdn.com/410417801/files/doc_financials/2025/AR/2026-Travelers-Annual-Report-Final.pdf" TargetMode="External"/><Relationship Id="rId1076" Type="http://schemas.openxmlformats.org/officeDocument/2006/relationships/hyperlink" Target="https://www.sec.gov/Archives/edgar/data/86312/000008631226000065/0000086312-26-000065-index.htm" TargetMode="External"/><Relationship Id="rId1077" Type="http://schemas.openxmlformats.org/officeDocument/2006/relationships/hyperlink" Target="https://s26.q4cdn.com/410417801/files/doc_financials/2024/ar/v2/Travelers-2024-Annual-Report.pdf" TargetMode="External"/><Relationship Id="rId1078" Type="http://schemas.openxmlformats.org/officeDocument/2006/relationships/hyperlink" Target="https://www.sec.gov/Archives/edgar/data/86312/000008631225000012/0000086312-25-000012-index.htm" TargetMode="External"/><Relationship Id="rId1079" Type="http://schemas.openxmlformats.org/officeDocument/2006/relationships/hyperlink" Target="https://s26.q4cdn.com/410417801/files/doc_financials/2025/AR/2026-Travelers-Annual-Report-Final.pdf" TargetMode="External"/><Relationship Id="rId1080" Type="http://schemas.openxmlformats.org/officeDocument/2006/relationships/hyperlink" Target="https://www.sec.gov/Archives/edgar/data/86312/000008631226000065/0000086312-26-000065-index.htm" TargetMode="External"/><Relationship Id="rId1081" Type="http://schemas.openxmlformats.org/officeDocument/2006/relationships/hyperlink" Target="https://s26.q4cdn.com/410417801/files/doc_financials/2025/AR/2026-Travelers-Annual-Report-Final.pdf" TargetMode="External"/><Relationship Id="rId1082" Type="http://schemas.openxmlformats.org/officeDocument/2006/relationships/hyperlink" Target="https://www.sec.gov/Archives/edgar/data/86312/000008631226000065/0000086312-26-000065-index.htm" TargetMode="External"/><Relationship Id="rId1083" Type="http://schemas.openxmlformats.org/officeDocument/2006/relationships/hyperlink" Target="https://s26.q4cdn.com/410417801/files/doc_financials/2025/AR/2026-Travelers-Annual-Report-Final.pdf" TargetMode="External"/><Relationship Id="rId1084" Type="http://schemas.openxmlformats.org/officeDocument/2006/relationships/hyperlink" Target="https://www.sec.gov/Archives/edgar/data/86312/000008631226000065/0000086312-26-000065-index.htm" TargetMode="External"/><Relationship Id="rId1085" Type="http://schemas.openxmlformats.org/officeDocument/2006/relationships/hyperlink" Target="https://s26.q4cdn.com/410417801/files/doc_financials/2025/AR/2026-Travelers-Annual-Report-Final.pdf" TargetMode="External"/><Relationship Id="rId1086" Type="http://schemas.openxmlformats.org/officeDocument/2006/relationships/hyperlink" Target="https://www.sec.gov/Archives/edgar/data/86312/000008631226000065/0000086312-26-000065-index.htm" TargetMode="External"/><Relationship Id="rId1087" Type="http://schemas.openxmlformats.org/officeDocument/2006/relationships/hyperlink" Target="https://s26.q4cdn.com/410417801/files/doc_financials/2025/AR/2026-Travelers-Annual-Report-Final.pdf" TargetMode="External"/><Relationship Id="rId1088" Type="http://schemas.openxmlformats.org/officeDocument/2006/relationships/hyperlink" Target="https://www.sec.gov/Archives/edgar/data/86312/000008631226000065/0000086312-26-000065-index.htm" TargetMode="External"/><Relationship Id="rId1089" Type="http://schemas.openxmlformats.org/officeDocument/2006/relationships/hyperlink" Target="https://s26.q4cdn.com/410417801/files/doc_financials/2025/AR/2026-Travelers-Annual-Report-Final.pdf" TargetMode="External"/><Relationship Id="rId1090" Type="http://schemas.openxmlformats.org/officeDocument/2006/relationships/hyperlink" Target="https://www.sec.gov/Archives/edgar/data/86312/000008631226000065/0000086312-26-000065-index.htm" TargetMode="External"/><Relationship Id="rId1091" Type="http://schemas.openxmlformats.org/officeDocument/2006/relationships/hyperlink" Target="https://s26.q4cdn.com/410417801/files/doc_financials/2025/AR/2026-Travelers-Annual-Report-Final.pdf" TargetMode="External"/><Relationship Id="rId1092" Type="http://schemas.openxmlformats.org/officeDocument/2006/relationships/hyperlink" Target="https://www.sec.gov/Archives/edgar/data/86312/000008631226000065/0000086312-26-000065-index.htm" TargetMode="External"/><Relationship Id="rId1093" Type="http://schemas.openxmlformats.org/officeDocument/2006/relationships/hyperlink" Target="https://s26.q4cdn.com/410417801/files/doc_financials/2025/AR/2026-Travelers-Annual-Report-Final.pdf" TargetMode="External"/><Relationship Id="rId1094" Type="http://schemas.openxmlformats.org/officeDocument/2006/relationships/hyperlink" Target="https://www.sec.gov/Archives/edgar/data/86312/000008631226000065/0000086312-26-000065-index.htm" TargetMode="External"/><Relationship Id="rId1095" Type="http://schemas.openxmlformats.org/officeDocument/2006/relationships/hyperlink" Target="https://s26.q4cdn.com/410417801/files/doc_financials/2025/AR/2026-Travelers-Annual-Report-Final.pdf" TargetMode="External"/><Relationship Id="rId1096" Type="http://schemas.openxmlformats.org/officeDocument/2006/relationships/hyperlink" Target="https://www.sec.gov/Archives/edgar/data/86312/000008631226000065/0000086312-26-000065-index.htm" TargetMode="External"/><Relationship Id="rId1097" Type="http://schemas.openxmlformats.org/officeDocument/2006/relationships/hyperlink" Target="https://s26.q4cdn.com/410417801/files/doc_financials/2025/AR/2026-Travelers-Annual-Report-Final.pdf" TargetMode="External"/><Relationship Id="rId1098" Type="http://schemas.openxmlformats.org/officeDocument/2006/relationships/hyperlink" Target="https://www.sec.gov/Archives/edgar/data/86312/000008631226000065/0000086312-26-000065-index.htm" TargetMode="External"/><Relationship Id="rId1099" Type="http://schemas.openxmlformats.org/officeDocument/2006/relationships/hyperlink" Target="https://s26.q4cdn.com/410417801/files/doc_financials/2025/AR/2026-Travelers-Annual-Report-Final.pdf" TargetMode="External"/><Relationship Id="rId1100" Type="http://schemas.openxmlformats.org/officeDocument/2006/relationships/hyperlink" Target="https://www.sec.gov/Archives/edgar/data/86312/000008631226000065/0000086312-26-000065-index.htm" TargetMode="External"/><Relationship Id="rId1101" Type="http://schemas.openxmlformats.org/officeDocument/2006/relationships/hyperlink" Target="https://s26.q4cdn.com/410417801/files/doc_financials/2025/AR/2026-Travelers-Annual-Report-Final.pdf" TargetMode="External"/><Relationship Id="rId1102" Type="http://schemas.openxmlformats.org/officeDocument/2006/relationships/hyperlink" Target="https://www.sec.gov/Archives/edgar/data/86312/000008631226000065/0000086312-26-000065-index.htm" TargetMode="External"/><Relationship Id="rId1103" Type="http://schemas.openxmlformats.org/officeDocument/2006/relationships/hyperlink" Target="https://s26.q4cdn.com/410417801/files/doc_financials/2025/AR/2026-Travelers-Annual-Report-Final.pdf" TargetMode="External"/><Relationship Id="rId1104" Type="http://schemas.openxmlformats.org/officeDocument/2006/relationships/hyperlink" Target="https://www.sec.gov/Archives/edgar/data/86312/000008631226000065/0000086312-26-000065-index.htm" TargetMode="External"/><Relationship Id="rId1105" Type="http://schemas.openxmlformats.org/officeDocument/2006/relationships/hyperlink" Target="https://s26.q4cdn.com/410417801/files/doc_financials/2024/ar/v2/Travelers-2024-Annual-Report.pdf" TargetMode="External"/><Relationship Id="rId1106" Type="http://schemas.openxmlformats.org/officeDocument/2006/relationships/hyperlink" Target="https://www.sec.gov/Archives/edgar/data/86312/000008631225000012/0000086312-25-000012-index.htm" TargetMode="External"/><Relationship Id="rId1107" Type="http://schemas.openxmlformats.org/officeDocument/2006/relationships/hyperlink" Target="https://s26.q4cdn.com/410417801/files/doc_financials/2025/AR/2026-Travelers-Annual-Report-Final.pdf" TargetMode="External"/><Relationship Id="rId1108" Type="http://schemas.openxmlformats.org/officeDocument/2006/relationships/hyperlink" Target="https://www.sec.gov/Archives/edgar/data/86312/000008631226000065/0000086312-26-000065-index.htm" TargetMode="External"/><Relationship Id="rId1109" Type="http://schemas.openxmlformats.org/officeDocument/2006/relationships/hyperlink" Target="https://s26.q4cdn.com/410417801/files/doc_financials/2025/AR/2026-Travelers-Annual-Report-Final.pdf" TargetMode="External"/><Relationship Id="rId1110" Type="http://schemas.openxmlformats.org/officeDocument/2006/relationships/hyperlink" Target="https://www.sec.gov/Archives/edgar/data/86312/000008631226000065/0000086312-26-000065-index.htm" TargetMode="External"/><Relationship Id="rId1111" Type="http://schemas.openxmlformats.org/officeDocument/2006/relationships/hyperlink" Target="https://s26.q4cdn.com/410417801/files/doc_financials/2025/AR/2026-Travelers-Annual-Report-Final.pdf" TargetMode="External"/><Relationship Id="rId1112" Type="http://schemas.openxmlformats.org/officeDocument/2006/relationships/hyperlink" Target="https://www.sec.gov/Archives/edgar/data/86312/000008631226000065/0000086312-26-000065-index.htm" TargetMode="External"/><Relationship Id="rId1113" Type="http://schemas.openxmlformats.org/officeDocument/2006/relationships/hyperlink" Target="https://s26.q4cdn.com/410417801/files/doc_financials/2024/ar/v2/Travelers-2024-Annual-Report.pdf" TargetMode="External"/><Relationship Id="rId1114" Type="http://schemas.openxmlformats.org/officeDocument/2006/relationships/hyperlink" Target="https://www.sec.gov/Archives/edgar/data/86312/000008631225000012/0000086312-25-000012-index.htm" TargetMode="External"/><Relationship Id="rId1115" Type="http://schemas.openxmlformats.org/officeDocument/2006/relationships/hyperlink" Target="https://s26.q4cdn.com/410417801/files/doc_financials/2025/AR/2026-Travelers-Annual-Report-Final.pdf" TargetMode="External"/><Relationship Id="rId1116" Type="http://schemas.openxmlformats.org/officeDocument/2006/relationships/hyperlink" Target="https://www.sec.gov/Archives/edgar/data/86312/000008631226000065/0000086312-26-000065-index.htm" TargetMode="External"/><Relationship Id="rId1117" Type="http://schemas.openxmlformats.org/officeDocument/2006/relationships/hyperlink" Target="https://s26.q4cdn.com/410417801/files/doc_financials/2024/ar/v2/Travelers-2024-Annual-Report.pdf" TargetMode="External"/><Relationship Id="rId1118" Type="http://schemas.openxmlformats.org/officeDocument/2006/relationships/hyperlink" Target="https://www.sec.gov/Archives/edgar/data/86312/000008631225000012/0000086312-25-000012-index.htm" TargetMode="External"/><Relationship Id="rId1119" Type="http://schemas.openxmlformats.org/officeDocument/2006/relationships/hyperlink" Target="https://s26.q4cdn.com/410417801/files/doc_financials/2024/ar/v2/Travelers-2024-Annual-Report.pdf" TargetMode="External"/><Relationship Id="rId1120" Type="http://schemas.openxmlformats.org/officeDocument/2006/relationships/hyperlink" Target="https://www.sec.gov/Archives/edgar/data/86312/000008631225000012/0000086312-25-000012-index.htm" TargetMode="External"/><Relationship Id="rId1121" Type="http://schemas.openxmlformats.org/officeDocument/2006/relationships/hyperlink" Target="https://s26.q4cdn.com/410417801/files/doc_financials/2025/AR/2026-Travelers-Annual-Report-Final.pdf" TargetMode="External"/><Relationship Id="rId1122" Type="http://schemas.openxmlformats.org/officeDocument/2006/relationships/hyperlink" Target="https://www.sec.gov/Archives/edgar/data/86312/000008631226000065/0000086312-26-000065-index.htm" TargetMode="External"/><Relationship Id="rId1123" Type="http://schemas.openxmlformats.org/officeDocument/2006/relationships/hyperlink" Target="https://s26.q4cdn.com/410417801/files/doc_financials/2024/ar/v2/Travelers-2024-Annual-Report.pdf" TargetMode="External"/><Relationship Id="rId1124" Type="http://schemas.openxmlformats.org/officeDocument/2006/relationships/hyperlink" Target="https://www.sec.gov/Archives/edgar/data/86312/000008631225000012/0000086312-25-000012-index.htm" TargetMode="External"/><Relationship Id="rId1125" Type="http://schemas.openxmlformats.org/officeDocument/2006/relationships/hyperlink" Target="https://s26.q4cdn.com/410417801/files/doc_financials/2025/AR/2026-Travelers-Annual-Report-Final.pdf" TargetMode="External"/><Relationship Id="rId1126" Type="http://schemas.openxmlformats.org/officeDocument/2006/relationships/hyperlink" Target="https://www.sec.gov/Archives/edgar/data/86312/000008631226000065/0000086312-26-000065-index.htm" TargetMode="External"/><Relationship Id="rId1127" Type="http://schemas.openxmlformats.org/officeDocument/2006/relationships/hyperlink" Target="https://s26.q4cdn.com/410417801/files/doc_financials/2025/AR/2026-Travelers-Annual-Report-Final.pdf" TargetMode="External"/><Relationship Id="rId1128" Type="http://schemas.openxmlformats.org/officeDocument/2006/relationships/hyperlink" Target="https://www.sec.gov/Archives/edgar/data/86312/000008631226000065/0000086312-26-000065-index.htm" TargetMode="External"/><Relationship Id="rId1129" Type="http://schemas.openxmlformats.org/officeDocument/2006/relationships/hyperlink" Target="https://s26.q4cdn.com/410417801/files/doc_financials/2025/AR/2026-Travelers-Annual-Report-Final.pdf" TargetMode="External"/><Relationship Id="rId1130" Type="http://schemas.openxmlformats.org/officeDocument/2006/relationships/hyperlink" Target="https://www.sec.gov/Archives/edgar/data/86312/000008631226000065/0000086312-26-000065-index.htm" TargetMode="External"/><Relationship Id="rId1131" Type="http://schemas.openxmlformats.org/officeDocument/2006/relationships/hyperlink" Target="https://s26.q4cdn.com/410417801/files/doc_financials/2025/AR/2026-Travelers-Annual-Report-Final.pdf" TargetMode="External"/><Relationship Id="rId1132" Type="http://schemas.openxmlformats.org/officeDocument/2006/relationships/hyperlink" Target="https://www.sec.gov/Archives/edgar/data/86312/000008631226000065/0000086312-26-000065-index.htm" TargetMode="External"/><Relationship Id="rId1133" Type="http://schemas.openxmlformats.org/officeDocument/2006/relationships/hyperlink" Target="https://s26.q4cdn.com/410417801/files/doc_financials/2025/AR/2026-Travelers-Annual-Report-Final.pdf" TargetMode="External"/><Relationship Id="rId1134" Type="http://schemas.openxmlformats.org/officeDocument/2006/relationships/hyperlink" Target="https://www.sec.gov/Archives/edgar/data/86312/000008631226000065/0000086312-26-000065-index.htm" TargetMode="External"/><Relationship Id="rId1135" Type="http://schemas.openxmlformats.org/officeDocument/2006/relationships/hyperlink" Target="https://s26.q4cdn.com/410417801/files/doc_financials/2025/AR/2026-Travelers-Annual-Report-Final.pdf" TargetMode="External"/><Relationship Id="rId1136" Type="http://schemas.openxmlformats.org/officeDocument/2006/relationships/hyperlink" Target="https://www.sec.gov/Archives/edgar/data/86312/000008631226000065/0000086312-26-000065-index.htm" TargetMode="External"/><Relationship Id="rId1137" Type="http://schemas.openxmlformats.org/officeDocument/2006/relationships/hyperlink" Target="https://s26.q4cdn.com/410417801/files/doc_financials/2025/AR/2026-Travelers-Annual-Report-Final.pdf" TargetMode="External"/><Relationship Id="rId1138" Type="http://schemas.openxmlformats.org/officeDocument/2006/relationships/hyperlink" Target="https://www.sec.gov/Archives/edgar/data/86312/000008631226000065/0000086312-26-000065-index.htm" TargetMode="External"/><Relationship Id="rId1139" Type="http://schemas.openxmlformats.org/officeDocument/2006/relationships/hyperlink" Target="https://s26.q4cdn.com/410417801/files/doc_financials/2025/AR/2026-Travelers-Annual-Report-Final.pdf" TargetMode="External"/><Relationship Id="rId1140" Type="http://schemas.openxmlformats.org/officeDocument/2006/relationships/hyperlink" Target="https://www.sec.gov/Archives/edgar/data/86312/000008631226000065/0000086312-26-000065-index.htm" TargetMode="External"/><Relationship Id="rId1141" Type="http://schemas.openxmlformats.org/officeDocument/2006/relationships/hyperlink" Target="https://s26.q4cdn.com/410417801/files/doc_financials/2025/AR/2026-Travelers-Annual-Report-Final.pdf" TargetMode="External"/><Relationship Id="rId1142" Type="http://schemas.openxmlformats.org/officeDocument/2006/relationships/hyperlink" Target="https://www.sec.gov/Archives/edgar/data/86312/000008631226000065/0000086312-26-000065-index.htm" TargetMode="External"/><Relationship Id="rId1143" Type="http://schemas.openxmlformats.org/officeDocument/2006/relationships/hyperlink" Target="https://s26.q4cdn.com/410417801/files/doc_financials/2025/AR/2026-Travelers-Annual-Report-Final.pdf" TargetMode="External"/><Relationship Id="rId1144" Type="http://schemas.openxmlformats.org/officeDocument/2006/relationships/hyperlink" Target="https://www.sec.gov/Archives/edgar/data/86312/000008631226000065/0000086312-26-000065-index.htm" TargetMode="External"/><Relationship Id="rId1145" Type="http://schemas.openxmlformats.org/officeDocument/2006/relationships/hyperlink" Target="https://s26.q4cdn.com/410417801/files/doc_financials/2025/AR/2026-Travelers-Annual-Report-Final.pdf" TargetMode="External"/><Relationship Id="rId1146" Type="http://schemas.openxmlformats.org/officeDocument/2006/relationships/hyperlink" Target="https://www.sec.gov/Archives/edgar/data/86312/000008631226000065/0000086312-26-000065-index.htm" TargetMode="External"/><Relationship Id="rId1147" Type="http://schemas.openxmlformats.org/officeDocument/2006/relationships/hyperlink" Target="https://s26.q4cdn.com/410417801/files/doc_financials/2025/AR/2026-Travelers-Annual-Report-Final.pdf" TargetMode="External"/><Relationship Id="rId1148" Type="http://schemas.openxmlformats.org/officeDocument/2006/relationships/hyperlink" Target="https://www.sec.gov/Archives/edgar/data/86312/000008631226000065/0000086312-26-000065-index.htm" TargetMode="External"/><Relationship Id="rId1149" Type="http://schemas.openxmlformats.org/officeDocument/2006/relationships/hyperlink" Target="https://s26.q4cdn.com/410417801/files/doc_financials/2025/AR/2026-Travelers-Annual-Report-Final.pdf" TargetMode="External"/><Relationship Id="rId1150" Type="http://schemas.openxmlformats.org/officeDocument/2006/relationships/hyperlink" Target="https://www.sec.gov/Archives/edgar/data/86312/000008631226000065/0000086312-26-000065-index.htm" TargetMode="External"/><Relationship Id="rId1151" Type="http://schemas.openxmlformats.org/officeDocument/2006/relationships/hyperlink" Target="https://s26.q4cdn.com/410417801/files/doc_financials/2025/AR/2026-Travelers-Annual-Report-Final.pdf" TargetMode="External"/><Relationship Id="rId1152" Type="http://schemas.openxmlformats.org/officeDocument/2006/relationships/hyperlink" Target="https://www.sec.gov/Archives/edgar/data/86312/000008631226000065/0000086312-26-000065-index.htm" TargetMode="External"/><Relationship Id="rId1153" Type="http://schemas.openxmlformats.org/officeDocument/2006/relationships/hyperlink" Target="https://s26.q4cdn.com/410417801/files/doc_financials/2025/AR/2026-Travelers-Annual-Report-Final.pdf" TargetMode="External"/><Relationship Id="rId1154" Type="http://schemas.openxmlformats.org/officeDocument/2006/relationships/hyperlink" Target="https://www.sec.gov/Archives/edgar/data/86312/000008631226000065/0000086312-26-000065-index.htm" TargetMode="External"/><Relationship Id="rId1155" Type="http://schemas.openxmlformats.org/officeDocument/2006/relationships/hyperlink" Target="https://s26.q4cdn.com/410417801/files/doc_financials/2025/AR/2026-Travelers-Annual-Report-Final.pdf" TargetMode="External"/><Relationship Id="rId1156" Type="http://schemas.openxmlformats.org/officeDocument/2006/relationships/hyperlink" Target="https://www.sec.gov/Archives/edgar/data/86312/000008631226000065/0000086312-26-000065-index.htm" TargetMode="External"/><Relationship Id="rId1157" Type="http://schemas.openxmlformats.org/officeDocument/2006/relationships/hyperlink" Target="https://s26.q4cdn.com/410417801/files/doc_financials/2025/AR/2026-Travelers-Annual-Report-Final.pdf" TargetMode="External"/><Relationship Id="rId1158" Type="http://schemas.openxmlformats.org/officeDocument/2006/relationships/hyperlink" Target="https://www.sec.gov/Archives/edgar/data/86312/000008631226000065/0000086312-26-000065-index.htm" TargetMode="External"/><Relationship Id="rId1159" Type="http://schemas.openxmlformats.org/officeDocument/2006/relationships/hyperlink" Target="https://s26.q4cdn.com/410417801/files/doc_financials/2025/AR/2026-Travelers-Annual-Report-Final.pdf" TargetMode="External"/><Relationship Id="rId1160" Type="http://schemas.openxmlformats.org/officeDocument/2006/relationships/hyperlink" Target="https://www.sec.gov/Archives/edgar/data/86312/000008631226000065/0000086312-26-000065-index.htm" TargetMode="External"/><Relationship Id="rId1161" Type="http://schemas.openxmlformats.org/officeDocument/2006/relationships/hyperlink" Target="https://s26.q4cdn.com/410417801/files/doc_financials/2025/AR/2026-Travelers-Annual-Report-Final.pdf" TargetMode="External"/><Relationship Id="rId1162" Type="http://schemas.openxmlformats.org/officeDocument/2006/relationships/hyperlink" Target="https://www.sec.gov/Archives/edgar/data/86312/000008631226000065/0000086312-26-000065-index.htm" TargetMode="External"/><Relationship Id="rId1163" Type="http://schemas.openxmlformats.org/officeDocument/2006/relationships/hyperlink" Target="https://s26.q4cdn.com/410417801/files/doc_financials/2025/AR/2026-Travelers-Annual-Report-Final.pdf" TargetMode="External"/><Relationship Id="rId1164" Type="http://schemas.openxmlformats.org/officeDocument/2006/relationships/hyperlink" Target="https://www.sec.gov/Archives/edgar/data/86312/000008631226000065/0000086312-26-000065-index.htm" TargetMode="External"/><Relationship Id="rId1165" Type="http://schemas.openxmlformats.org/officeDocument/2006/relationships/hyperlink" Target="https://s26.q4cdn.com/410417801/files/doc_financials/2025/AR/2026-Travelers-Annual-Report-Final.pdf" TargetMode="External"/><Relationship Id="rId1166" Type="http://schemas.openxmlformats.org/officeDocument/2006/relationships/hyperlink" Target="https://www.sec.gov/Archives/edgar/data/86312/000008631226000065/0000086312-26-000065-index.htm" TargetMode="External"/><Relationship Id="rId1167" Type="http://schemas.openxmlformats.org/officeDocument/2006/relationships/hyperlink" Target="https://s26.q4cdn.com/410417801/files/doc_financials/2025/AR/2026-Travelers-Annual-Report-Final.pdf" TargetMode="External"/><Relationship Id="rId1168" Type="http://schemas.openxmlformats.org/officeDocument/2006/relationships/hyperlink" Target="https://www.sec.gov/Archives/edgar/data/86312/000008631226000065/0000086312-26-000065-index.htm" TargetMode="External"/><Relationship Id="rId1169" Type="http://schemas.openxmlformats.org/officeDocument/2006/relationships/hyperlink" Target="https://s26.q4cdn.com/410417801/files/doc_financials/2025/AR/2026-Travelers-Annual-Report-Final.pdf" TargetMode="External"/><Relationship Id="rId1170" Type="http://schemas.openxmlformats.org/officeDocument/2006/relationships/hyperlink" Target="https://www.sec.gov/Archives/edgar/data/86312/000008631226000065/0000086312-26-000065-index.htm" TargetMode="External"/><Relationship Id="rId1171" Type="http://schemas.openxmlformats.org/officeDocument/2006/relationships/hyperlink" Target="https://s26.q4cdn.com/410417801/files/doc_financials/2025/AR/2026-Travelers-Annual-Report-Final.pdf" TargetMode="External"/><Relationship Id="rId1172" Type="http://schemas.openxmlformats.org/officeDocument/2006/relationships/hyperlink" Target="https://www.sec.gov/Archives/edgar/data/86312/000008631226000065/0000086312-26-000065-index.htm" TargetMode="External"/><Relationship Id="rId1173" Type="http://schemas.openxmlformats.org/officeDocument/2006/relationships/hyperlink" Target="https://s26.q4cdn.com/410417801/files/doc_financials/2025/AR/2026-Travelers-Annual-Report-Final.pdf" TargetMode="External"/><Relationship Id="rId1174" Type="http://schemas.openxmlformats.org/officeDocument/2006/relationships/hyperlink" Target="https://www.sec.gov/Archives/edgar/data/86312/000008631226000065/0000086312-26-000065-index.htm" TargetMode="External"/><Relationship Id="rId1175" Type="http://schemas.openxmlformats.org/officeDocument/2006/relationships/hyperlink" Target="https://s26.q4cdn.com/410417801/files/doc_financials/2025/AR/2026-Travelers-Annual-Report-Final.pdf" TargetMode="External"/><Relationship Id="rId1176" Type="http://schemas.openxmlformats.org/officeDocument/2006/relationships/hyperlink" Target="https://www.sec.gov/Archives/edgar/data/86312/000008631226000065/0000086312-26-000065-index.htm" TargetMode="External"/><Relationship Id="rId1177" Type="http://schemas.openxmlformats.org/officeDocument/2006/relationships/hyperlink" Target="https://s26.q4cdn.com/410417801/files/doc_financials/2025/AR/2026-Travelers-Annual-Report-Final.pdf" TargetMode="External"/><Relationship Id="rId1178" Type="http://schemas.openxmlformats.org/officeDocument/2006/relationships/hyperlink" Target="https://www.sec.gov/Archives/edgar/data/86312/000008631226000065/0000086312-26-000065-index.htm" TargetMode="External"/><Relationship Id="rId1179" Type="http://schemas.openxmlformats.org/officeDocument/2006/relationships/hyperlink" Target="https://s26.q4cdn.com/410417801/files/doc_financials/2025/AR/2026-Travelers-Annual-Report-Final.pdf" TargetMode="External"/><Relationship Id="rId1180" Type="http://schemas.openxmlformats.org/officeDocument/2006/relationships/hyperlink" Target="https://www.sec.gov/Archives/edgar/data/86312/000008631226000065/0000086312-26-000065-index.htm" TargetMode="External"/><Relationship Id="rId1181" Type="http://schemas.openxmlformats.org/officeDocument/2006/relationships/hyperlink" Target="https://s26.q4cdn.com/410417801/files/doc_financials/2025/AR/2026-Travelers-Annual-Report-Final.pdf" TargetMode="External"/><Relationship Id="rId1182" Type="http://schemas.openxmlformats.org/officeDocument/2006/relationships/hyperlink" Target="https://www.sec.gov/Archives/edgar/data/86312/000008631226000065/0000086312-26-000065-index.htm" TargetMode="External"/><Relationship Id="rId1183" Type="http://schemas.openxmlformats.org/officeDocument/2006/relationships/hyperlink" Target="https://s26.q4cdn.com/410417801/files/doc_financials/2025/AR/2026-Travelers-Annual-Report-Final.pdf" TargetMode="External"/><Relationship Id="rId1184" Type="http://schemas.openxmlformats.org/officeDocument/2006/relationships/hyperlink" Target="https://www.sec.gov/Archives/edgar/data/86312/000008631226000065/0000086312-26-000065-index.htm" TargetMode="External"/><Relationship Id="rId1185" Type="http://schemas.openxmlformats.org/officeDocument/2006/relationships/hyperlink" Target="https://s26.q4cdn.com/410417801/files/doc_financials/2025/AR/2026-Travelers-Annual-Report-Final.pdf" TargetMode="External"/><Relationship Id="rId1186" Type="http://schemas.openxmlformats.org/officeDocument/2006/relationships/hyperlink" Target="https://www.sec.gov/Archives/edgar/data/86312/000008631226000065/0000086312-26-000065-index.htm" TargetMode="External"/><Relationship Id="rId1187" Type="http://schemas.openxmlformats.org/officeDocument/2006/relationships/hyperlink" Target="https://s26.q4cdn.com/410417801/files/doc_financials/2025/AR/2026-Travelers-Annual-Report-Final.pdf" TargetMode="External"/><Relationship Id="rId1188" Type="http://schemas.openxmlformats.org/officeDocument/2006/relationships/hyperlink" Target="https://www.sec.gov/Archives/edgar/data/86312/000008631226000065/0000086312-26-000065-index.htm" TargetMode="External"/><Relationship Id="rId1189" Type="http://schemas.openxmlformats.org/officeDocument/2006/relationships/hyperlink" Target="https://s26.q4cdn.com/410417801/files/doc_financials/2025/AR/2026-Travelers-Annual-Report-Final.pdf" TargetMode="External"/><Relationship Id="rId1190" Type="http://schemas.openxmlformats.org/officeDocument/2006/relationships/hyperlink" Target="https://www.sec.gov/Archives/edgar/data/86312/000008631226000065/0000086312-26-000065-index.htm" TargetMode="External"/><Relationship Id="rId1191" Type="http://schemas.openxmlformats.org/officeDocument/2006/relationships/hyperlink" Target="https://s26.q4cdn.com/410417801/files/doc_financials/2025/AR/2026-Travelers-Annual-Report-Final.pdf" TargetMode="External"/><Relationship Id="rId1192" Type="http://schemas.openxmlformats.org/officeDocument/2006/relationships/hyperlink" Target="https://www.sec.gov/Archives/edgar/data/86312/000008631226000065/0000086312-26-000065-index.htm" TargetMode="External"/><Relationship Id="rId1193" Type="http://schemas.openxmlformats.org/officeDocument/2006/relationships/hyperlink" Target="https://s26.q4cdn.com/410417801/files/doc_financials/2025/AR/2026-Travelers-Annual-Report-Final.pdf" TargetMode="External"/><Relationship Id="rId1194" Type="http://schemas.openxmlformats.org/officeDocument/2006/relationships/hyperlink" Target="https://www.sec.gov/Archives/edgar/data/86312/000008631226000065/0000086312-26-000065-index.htm" TargetMode="External"/><Relationship Id="rId1195" Type="http://schemas.openxmlformats.org/officeDocument/2006/relationships/hyperlink" Target="https://s26.q4cdn.com/410417801/files/doc_financials/2025/AR/2026-Travelers-Annual-Report-Final.pdf" TargetMode="External"/><Relationship Id="rId1196" Type="http://schemas.openxmlformats.org/officeDocument/2006/relationships/hyperlink" Target="https://www.sec.gov/Archives/edgar/data/86312/000008631226000065/0000086312-26-000065-index.htm" TargetMode="External"/><Relationship Id="rId1197" Type="http://schemas.openxmlformats.org/officeDocument/2006/relationships/hyperlink" Target="https://s26.q4cdn.com/410417801/files/doc_financials/2025/AR/2026-Travelers-Annual-Report-Final.pdf" TargetMode="External"/><Relationship Id="rId1198" Type="http://schemas.openxmlformats.org/officeDocument/2006/relationships/hyperlink" Target="https://www.sec.gov/Archives/edgar/data/86312/000008631226000065/0000086312-26-000065-index.htm" TargetMode="External"/><Relationship Id="rId1199" Type="http://schemas.openxmlformats.org/officeDocument/2006/relationships/hyperlink" Target="https://s26.q4cdn.com/410417801/files/doc_financials/2025/AR/2026-Travelers-Annual-Report-Final.pdf" TargetMode="External"/><Relationship Id="rId1200" Type="http://schemas.openxmlformats.org/officeDocument/2006/relationships/hyperlink" Target="https://www.sec.gov/Archives/edgar/data/86312/000008631226000065/0000086312-26-000065-index.htm" TargetMode="External"/><Relationship Id="rId1201" Type="http://schemas.openxmlformats.org/officeDocument/2006/relationships/hyperlink" Target="https://s26.q4cdn.com/410417801/files/doc_financials/2025/AR/2026-Travelers-Annual-Report-Final.pdf" TargetMode="External"/><Relationship Id="rId1202" Type="http://schemas.openxmlformats.org/officeDocument/2006/relationships/hyperlink" Target="https://www.sec.gov/Archives/edgar/data/86312/000008631226000065/0000086312-26-000065-index.htm" TargetMode="External"/><Relationship Id="rId1203" Type="http://schemas.openxmlformats.org/officeDocument/2006/relationships/hyperlink" Target="https://s26.q4cdn.com/410417801/files/doc_financials/2025/AR/2026-Travelers-Annual-Report-Final.pdf" TargetMode="External"/><Relationship Id="rId1204" Type="http://schemas.openxmlformats.org/officeDocument/2006/relationships/hyperlink" Target="https://www.sec.gov/Archives/edgar/data/86312/000008631226000065/0000086312-26-000065-index.htm" TargetMode="External"/><Relationship Id="rId1205" Type="http://schemas.openxmlformats.org/officeDocument/2006/relationships/hyperlink" Target="https://s26.q4cdn.com/410417801/files/doc_financials/2025/AR/2026-Travelers-Annual-Report-Final.pdf" TargetMode="External"/><Relationship Id="rId1206" Type="http://schemas.openxmlformats.org/officeDocument/2006/relationships/hyperlink" Target="https://www.sec.gov/Archives/edgar/data/86312/000008631226000065/0000086312-26-000065-index.htm" TargetMode="External"/><Relationship Id="rId1207" Type="http://schemas.openxmlformats.org/officeDocument/2006/relationships/hyperlink" Target="https://s26.q4cdn.com/410417801/files/doc_financials/2025/AR/2026-Travelers-Annual-Report-Final.pdf" TargetMode="External"/><Relationship Id="rId1208" Type="http://schemas.openxmlformats.org/officeDocument/2006/relationships/hyperlink" Target="https://www.sec.gov/Archives/edgar/data/86312/000008631226000065/0000086312-26-000065-index.htm" TargetMode="External"/><Relationship Id="rId1209" Type="http://schemas.openxmlformats.org/officeDocument/2006/relationships/hyperlink" Target="https://s26.q4cdn.com/410417801/files/doc_financials/2025/AR/2026-Travelers-Annual-Report-Final.pdf" TargetMode="External"/><Relationship Id="rId1210" Type="http://schemas.openxmlformats.org/officeDocument/2006/relationships/hyperlink" Target="https://www.sec.gov/Archives/edgar/data/86312/000008631226000065/0000086312-26-000065-index.htm" TargetMode="External"/><Relationship Id="rId1211" Type="http://schemas.openxmlformats.org/officeDocument/2006/relationships/hyperlink" Target="https://s26.q4cdn.com/410417801/files/doc_financials/2025/AR/2026-Travelers-Annual-Report-Final.pdf" TargetMode="External"/><Relationship Id="rId1212" Type="http://schemas.openxmlformats.org/officeDocument/2006/relationships/hyperlink" Target="https://www.sec.gov/Archives/edgar/data/86312/000008631226000065/0000086312-26-000065-index.htm" TargetMode="External"/><Relationship Id="rId1213" Type="http://schemas.openxmlformats.org/officeDocument/2006/relationships/hyperlink" Target="https://s26.q4cdn.com/410417801/files/doc_financials/2025/AR/2026-Travelers-Annual-Report-Final.pdf" TargetMode="External"/><Relationship Id="rId1214" Type="http://schemas.openxmlformats.org/officeDocument/2006/relationships/hyperlink" Target="https://www.sec.gov/Archives/edgar/data/86312/000008631226000065/0000086312-26-000065-index.htm" TargetMode="External"/><Relationship Id="rId1215" Type="http://schemas.openxmlformats.org/officeDocument/2006/relationships/hyperlink" Target="https://s26.q4cdn.com/410417801/files/doc_financials/2025/AR/2026-Travelers-Annual-Report-Final.pdf" TargetMode="External"/><Relationship Id="rId1216" Type="http://schemas.openxmlformats.org/officeDocument/2006/relationships/hyperlink" Target="https://www.sec.gov/Archives/edgar/data/86312/000008631226000065/0000086312-26-000065-index.htm" TargetMode="External"/><Relationship Id="rId1217" Type="http://schemas.openxmlformats.org/officeDocument/2006/relationships/hyperlink" Target="https://s26.q4cdn.com/410417801/files/doc_financials/2025/AR/2026-Travelers-Annual-Report-Final.pdf" TargetMode="External"/><Relationship Id="rId1218" Type="http://schemas.openxmlformats.org/officeDocument/2006/relationships/hyperlink" Target="https://www.sec.gov/Archives/edgar/data/86312/000008631226000065/0000086312-26-000065-index.htm" TargetMode="External"/><Relationship Id="rId1219" Type="http://schemas.openxmlformats.org/officeDocument/2006/relationships/hyperlink" Target="https://s26.q4cdn.com/410417801/files/doc_financials/2025/AR/2026-Travelers-Annual-Report-Final.pdf" TargetMode="External"/><Relationship Id="rId1220" Type="http://schemas.openxmlformats.org/officeDocument/2006/relationships/hyperlink" Target="https://www.sec.gov/Archives/edgar/data/86312/000008631226000065/0000086312-26-000065-index.htm" TargetMode="External"/><Relationship Id="rId1221" Type="http://schemas.openxmlformats.org/officeDocument/2006/relationships/hyperlink" Target="https://s26.q4cdn.com/410417801/files/doc_financials/2025/AR/2026-Travelers-Annual-Report-Final.pdf" TargetMode="External"/><Relationship Id="rId1222" Type="http://schemas.openxmlformats.org/officeDocument/2006/relationships/hyperlink" Target="https://www.sec.gov/Archives/edgar/data/86312/000008631226000065/0000086312-26-000065-index.htm" TargetMode="External"/><Relationship Id="rId1223" Type="http://schemas.openxmlformats.org/officeDocument/2006/relationships/hyperlink" Target="https://s26.q4cdn.com/410417801/files/doc_financials/2025/AR/2026-Travelers-Annual-Report-Final.pdf" TargetMode="External"/><Relationship Id="rId1224" Type="http://schemas.openxmlformats.org/officeDocument/2006/relationships/hyperlink" Target="https://www.sec.gov/Archives/edgar/data/86312/000008631226000065/0000086312-26-000065-index.htm" TargetMode="External"/><Relationship Id="rId1225" Type="http://schemas.openxmlformats.org/officeDocument/2006/relationships/hyperlink" Target="https://s26.q4cdn.com/410417801/files/doc_financials/2025/AR/2026-Travelers-Annual-Report-Final.pdf" TargetMode="External"/><Relationship Id="rId1226" Type="http://schemas.openxmlformats.org/officeDocument/2006/relationships/hyperlink" Target="https://www.sec.gov/Archives/edgar/data/86312/000008631226000065/0000086312-26-000065-index.htm" TargetMode="External"/><Relationship Id="rId1227" Type="http://schemas.openxmlformats.org/officeDocument/2006/relationships/hyperlink" Target="https://s26.q4cdn.com/410417801/files/doc_financials/2025/AR/2026-Travelers-Annual-Report-Final.pdf" TargetMode="External"/><Relationship Id="rId1228" Type="http://schemas.openxmlformats.org/officeDocument/2006/relationships/hyperlink" Target="https://www.sec.gov/Archives/edgar/data/86312/000008631226000065/0000086312-26-000065-index.htm" TargetMode="External"/><Relationship Id="rId1229" Type="http://schemas.openxmlformats.org/officeDocument/2006/relationships/hyperlink" Target="https://s26.q4cdn.com/410417801/files/doc_financials/2025/AR/2026-Travelers-Annual-Report-Final.pdf" TargetMode="External"/><Relationship Id="rId1230" Type="http://schemas.openxmlformats.org/officeDocument/2006/relationships/hyperlink" Target="https://www.sec.gov/Archives/edgar/data/86312/000008631226000065/0000086312-26-000065-index.htm" TargetMode="External"/><Relationship Id="rId1231" Type="http://schemas.openxmlformats.org/officeDocument/2006/relationships/hyperlink" Target="https://s26.q4cdn.com/410417801/files/doc_financials/2025/AR/2026-Travelers-Annual-Report-Final.pdf" TargetMode="External"/><Relationship Id="rId1232" Type="http://schemas.openxmlformats.org/officeDocument/2006/relationships/hyperlink" Target="https://www.sec.gov/Archives/edgar/data/86312/000008631226000065/0000086312-26-000065-index.htm" TargetMode="External"/><Relationship Id="rId1233" Type="http://schemas.openxmlformats.org/officeDocument/2006/relationships/hyperlink" Target="https://s26.q4cdn.com/410417801/files/doc_financials/2025/AR/2026-Travelers-Annual-Report-Final.pdf" TargetMode="External"/><Relationship Id="rId1234" Type="http://schemas.openxmlformats.org/officeDocument/2006/relationships/hyperlink" Target="https://www.sec.gov/Archives/edgar/data/86312/000008631226000065/0000086312-26-000065-index.htm" TargetMode="External"/><Relationship Id="rId1235" Type="http://schemas.openxmlformats.org/officeDocument/2006/relationships/hyperlink" Target="https://s26.q4cdn.com/410417801/files/doc_financials/2025/AR/2026-Travelers-Annual-Report-Final.pdf" TargetMode="External"/><Relationship Id="rId1236" Type="http://schemas.openxmlformats.org/officeDocument/2006/relationships/hyperlink" Target="https://www.sec.gov/Archives/edgar/data/86312/000008631226000065/0000086312-26-000065-index.htm" TargetMode="External"/><Relationship Id="rId1237" Type="http://schemas.openxmlformats.org/officeDocument/2006/relationships/hyperlink" Target="https://s26.q4cdn.com/410417801/files/doc_financials/2025/AR/2026-Travelers-Annual-Report-Final.pdf" TargetMode="External"/><Relationship Id="rId1238" Type="http://schemas.openxmlformats.org/officeDocument/2006/relationships/hyperlink" Target="https://www.sec.gov/Archives/edgar/data/86312/000008631226000065/0000086312-26-000065-index.htm" TargetMode="External"/><Relationship Id="rId1239" Type="http://schemas.openxmlformats.org/officeDocument/2006/relationships/hyperlink" Target="https://s26.q4cdn.com/410417801/files/doc_financials/2025/AR/2026-Travelers-Annual-Report-Final.pdf" TargetMode="External"/><Relationship Id="rId1240" Type="http://schemas.openxmlformats.org/officeDocument/2006/relationships/hyperlink" Target="https://www.sec.gov/Archives/edgar/data/86312/000008631226000065/0000086312-26-000065-index.htm" TargetMode="External"/><Relationship Id="rId1241" Type="http://schemas.openxmlformats.org/officeDocument/2006/relationships/hyperlink" Target="https://s26.q4cdn.com/410417801/files/doc_financials/2025/AR/2026-Travelers-Annual-Report-Final.pdf" TargetMode="External"/><Relationship Id="rId1242" Type="http://schemas.openxmlformats.org/officeDocument/2006/relationships/hyperlink" Target="https://www.sec.gov/Archives/edgar/data/86312/000008631226000065/0000086312-26-000065-index.htm" TargetMode="External"/><Relationship Id="rId1243" Type="http://schemas.openxmlformats.org/officeDocument/2006/relationships/hyperlink" Target="https://s26.q4cdn.com/410417801/files/doc_financials/2025/AR/2026-Travelers-Annual-Report-Final.pdf" TargetMode="External"/><Relationship Id="rId1244" Type="http://schemas.openxmlformats.org/officeDocument/2006/relationships/hyperlink" Target="https://www.sec.gov/Archives/edgar/data/86312/000008631226000065/0000086312-26-000065-index.htm" TargetMode="External"/><Relationship Id="rId1245" Type="http://schemas.openxmlformats.org/officeDocument/2006/relationships/hyperlink" Target="https://s26.q4cdn.com/410417801/files/doc_financials/2025/AR/2026-Travelers-Annual-Report-Final.pdf" TargetMode="External"/><Relationship Id="rId1246" Type="http://schemas.openxmlformats.org/officeDocument/2006/relationships/hyperlink" Target="https://www.sec.gov/Archives/edgar/data/86312/000008631226000065/0000086312-26-000065-index.htm" TargetMode="External"/><Relationship Id="rId1247" Type="http://schemas.openxmlformats.org/officeDocument/2006/relationships/hyperlink" Target="https://s26.q4cdn.com/410417801/files/doc_financials/2025/AR/2026-Travelers-Annual-Report-Final.pdf" TargetMode="External"/><Relationship Id="rId1248" Type="http://schemas.openxmlformats.org/officeDocument/2006/relationships/hyperlink" Target="https://www.sec.gov/Archives/edgar/data/86312/000008631226000065/0000086312-26-000065-index.htm" TargetMode="External"/><Relationship Id="rId1249" Type="http://schemas.openxmlformats.org/officeDocument/2006/relationships/hyperlink" Target="https://s26.q4cdn.com/410417801/files/doc_financials/2025/AR/2026-Travelers-Annual-Report-Final.pdf" TargetMode="External"/><Relationship Id="rId1250" Type="http://schemas.openxmlformats.org/officeDocument/2006/relationships/hyperlink" Target="https://www.sec.gov/Archives/edgar/data/86312/000008631226000065/0000086312-26-000065-index.htm" TargetMode="External"/><Relationship Id="rId1251" Type="http://schemas.openxmlformats.org/officeDocument/2006/relationships/hyperlink" Target="https://s26.q4cdn.com/410417801/files/doc_financials/2025/AR/2026-Travelers-Annual-Report-Final.pdf" TargetMode="External"/><Relationship Id="rId1252" Type="http://schemas.openxmlformats.org/officeDocument/2006/relationships/hyperlink" Target="https://www.sec.gov/Archives/edgar/data/86312/000008631226000065/0000086312-26-000065-index.htm" TargetMode="External"/><Relationship Id="rId1253" Type="http://schemas.openxmlformats.org/officeDocument/2006/relationships/hyperlink" Target="https://s26.q4cdn.com/410417801/files/doc_financials/2025/AR/2026-Travelers-Annual-Report-Final.pdf" TargetMode="External"/><Relationship Id="rId1254" Type="http://schemas.openxmlformats.org/officeDocument/2006/relationships/hyperlink" Target="https://www.sec.gov/Archives/edgar/data/86312/000008631226000065/0000086312-26-000065-index.htm" TargetMode="External"/><Relationship Id="rId1255" Type="http://schemas.openxmlformats.org/officeDocument/2006/relationships/hyperlink" Target="https://s26.q4cdn.com/410417801/files/doc_financials/2025/AR/2026-Travelers-Annual-Report-Final.pdf" TargetMode="External"/><Relationship Id="rId1256" Type="http://schemas.openxmlformats.org/officeDocument/2006/relationships/hyperlink" Target="https://www.sec.gov/Archives/edgar/data/86312/000008631226000065/0000086312-26-000065-index.htm" TargetMode="External"/><Relationship Id="rId1257" Type="http://schemas.openxmlformats.org/officeDocument/2006/relationships/hyperlink" Target="https://s26.q4cdn.com/410417801/files/doc_financials/2025/AR/2026-Travelers-Annual-Report-Final.pdf" TargetMode="External"/><Relationship Id="rId1258" Type="http://schemas.openxmlformats.org/officeDocument/2006/relationships/hyperlink" Target="https://www.sec.gov/Archives/edgar/data/86312/000008631226000065/0000086312-26-000065-index.htm" TargetMode="External"/><Relationship Id="rId1259" Type="http://schemas.openxmlformats.org/officeDocument/2006/relationships/hyperlink" Target="https://s26.q4cdn.com/410417801/files/doc_financials/2025/AR/2026-Travelers-Annual-Report-Final.pdf" TargetMode="External"/><Relationship Id="rId1260" Type="http://schemas.openxmlformats.org/officeDocument/2006/relationships/hyperlink" Target="https://www.sec.gov/Archives/edgar/data/86312/000008631226000065/0000086312-26-000065-index.htm" TargetMode="External"/><Relationship Id="rId1261" Type="http://schemas.openxmlformats.org/officeDocument/2006/relationships/hyperlink" Target="https://s26.q4cdn.com/410417801/files/doc_financials/2025/AR/2026-Travelers-Annual-Report-Final.pdf" TargetMode="External"/><Relationship Id="rId1262" Type="http://schemas.openxmlformats.org/officeDocument/2006/relationships/hyperlink" Target="https://www.sec.gov/Archives/edgar/data/86312/000008631226000065/0000086312-26-000065-index.htm" TargetMode="External"/><Relationship Id="rId1263" Type="http://schemas.openxmlformats.org/officeDocument/2006/relationships/hyperlink" Target="https://s26.q4cdn.com/410417801/files/doc_financials/2025/AR/2026-Travelers-Annual-Report-Final.pdf" TargetMode="External"/><Relationship Id="rId1264" Type="http://schemas.openxmlformats.org/officeDocument/2006/relationships/hyperlink" Target="https://www.sec.gov/Archives/edgar/data/86312/000008631226000065/0000086312-26-000065-index.htm" TargetMode="External"/><Relationship Id="rId1265" Type="http://schemas.openxmlformats.org/officeDocument/2006/relationships/hyperlink" Target="https://s26.q4cdn.com/410417801/files/doc_financials/2025/AR/2026-Travelers-Annual-Report-Final.pdf" TargetMode="External"/><Relationship Id="rId1266" Type="http://schemas.openxmlformats.org/officeDocument/2006/relationships/hyperlink" Target="https://www.sec.gov/Archives/edgar/data/86312/000008631226000065/0000086312-26-000065-index.htm" TargetMode="External"/><Relationship Id="rId1267" Type="http://schemas.openxmlformats.org/officeDocument/2006/relationships/hyperlink" Target="https://s26.q4cdn.com/410417801/files/doc_financials/2025/AR/2026-Travelers-Annual-Report-Final.pdf" TargetMode="External"/><Relationship Id="rId1268" Type="http://schemas.openxmlformats.org/officeDocument/2006/relationships/hyperlink" Target="https://www.sec.gov/Archives/edgar/data/86312/000008631226000065/0000086312-26-000065-index.htm" TargetMode="External"/><Relationship Id="rId1269" Type="http://schemas.openxmlformats.org/officeDocument/2006/relationships/hyperlink" Target="https://s26.q4cdn.com/410417801/files/doc_financials/2025/AR/2026-Travelers-Annual-Report-Final.pdf" TargetMode="External"/><Relationship Id="rId1270" Type="http://schemas.openxmlformats.org/officeDocument/2006/relationships/hyperlink" Target="https://www.sec.gov/Archives/edgar/data/86312/000008631226000065/0000086312-26-000065-index.htm" TargetMode="External"/><Relationship Id="rId1271" Type="http://schemas.openxmlformats.org/officeDocument/2006/relationships/hyperlink" Target="https://s26.q4cdn.com/410417801/files/doc_financials/2025/AR/2026-Travelers-Annual-Report-Final.pdf" TargetMode="External"/><Relationship Id="rId1272" Type="http://schemas.openxmlformats.org/officeDocument/2006/relationships/hyperlink" Target="https://www.sec.gov/Archives/edgar/data/86312/000008631226000065/0000086312-26-000065-index.htm" TargetMode="External"/><Relationship Id="rId1273" Type="http://schemas.openxmlformats.org/officeDocument/2006/relationships/hyperlink" Target="https://s26.q4cdn.com/410417801/files/doc_financials/2025/AR/2026-Travelers-Annual-Report-Final.pdf" TargetMode="External"/><Relationship Id="rId1274" Type="http://schemas.openxmlformats.org/officeDocument/2006/relationships/hyperlink" Target="https://www.sec.gov/Archives/edgar/data/86312/000008631226000065/0000086312-26-000065-index.htm" TargetMode="External"/><Relationship Id="rId1275" Type="http://schemas.openxmlformats.org/officeDocument/2006/relationships/hyperlink" Target="https://s26.q4cdn.com/410417801/files/doc_financials/2025/AR/2026-Travelers-Annual-Report-Final.pdf" TargetMode="External"/><Relationship Id="rId1276" Type="http://schemas.openxmlformats.org/officeDocument/2006/relationships/hyperlink" Target="https://www.sec.gov/Archives/edgar/data/86312/000008631226000065/0000086312-26-000065-index.htm" TargetMode="External"/><Relationship Id="rId1277" Type="http://schemas.openxmlformats.org/officeDocument/2006/relationships/hyperlink" Target="https://s26.q4cdn.com/410417801/files/doc_financials/2025/AR/2026-Travelers-Annual-Report-Final.pdf" TargetMode="External"/><Relationship Id="rId1278" Type="http://schemas.openxmlformats.org/officeDocument/2006/relationships/hyperlink" Target="https://www.sec.gov/Archives/edgar/data/86312/000008631226000065/0000086312-26-000065-index.htm" TargetMode="External"/><Relationship Id="rId1279" Type="http://schemas.openxmlformats.org/officeDocument/2006/relationships/hyperlink" Target="https://s26.q4cdn.com/410417801/files/doc_financials/2025/AR/2026-Travelers-Annual-Report-Final.pdf" TargetMode="External"/><Relationship Id="rId1280" Type="http://schemas.openxmlformats.org/officeDocument/2006/relationships/hyperlink" Target="https://www.sec.gov/Archives/edgar/data/86312/000008631226000065/0000086312-26-000065-index.htm" TargetMode="External"/><Relationship Id="rId1281" Type="http://schemas.openxmlformats.org/officeDocument/2006/relationships/hyperlink" Target="https://s26.q4cdn.com/410417801/files/doc_financials/2025/AR/2026-Travelers-Annual-Report-Final.pdf" TargetMode="External"/><Relationship Id="rId1282" Type="http://schemas.openxmlformats.org/officeDocument/2006/relationships/hyperlink" Target="https://www.sec.gov/Archives/edgar/data/86312/000008631226000065/0000086312-26-000065-index.htm" TargetMode="External"/><Relationship Id="rId1283" Type="http://schemas.openxmlformats.org/officeDocument/2006/relationships/hyperlink" Target="https://s26.q4cdn.com/410417801/files/doc_financials/2025/AR/2026-Travelers-Annual-Report-Final.pdf" TargetMode="External"/><Relationship Id="rId1284" Type="http://schemas.openxmlformats.org/officeDocument/2006/relationships/hyperlink" Target="https://www.sec.gov/Archives/edgar/data/86312/000008631226000065/0000086312-26-000065-index.htm" TargetMode="External"/><Relationship Id="rId1285" Type="http://schemas.openxmlformats.org/officeDocument/2006/relationships/hyperlink" Target="https://s26.q4cdn.com/410417801/files/doc_financials/2025/AR/2026-Travelers-Annual-Report-Final.pdf" TargetMode="External"/><Relationship Id="rId1286" Type="http://schemas.openxmlformats.org/officeDocument/2006/relationships/hyperlink" Target="https://www.sec.gov/Archives/edgar/data/86312/000008631226000065/0000086312-26-000065-index.htm" TargetMode="External"/><Relationship Id="rId1287" Type="http://schemas.openxmlformats.org/officeDocument/2006/relationships/hyperlink" Target="https://s26.q4cdn.com/410417801/files/doc_financials/2025/AR/2026-Travelers-Annual-Report-Final.pdf" TargetMode="External"/><Relationship Id="rId1288" Type="http://schemas.openxmlformats.org/officeDocument/2006/relationships/hyperlink" Target="https://www.sec.gov/Archives/edgar/data/86312/000008631226000065/0000086312-26-000065-index.htm" TargetMode="External"/><Relationship Id="rId1289" Type="http://schemas.openxmlformats.org/officeDocument/2006/relationships/hyperlink" Target="https://s26.q4cdn.com/410417801/files/doc_financials/2025/AR/2026-Travelers-Annual-Report-Final.pdf" TargetMode="External"/><Relationship Id="rId1290" Type="http://schemas.openxmlformats.org/officeDocument/2006/relationships/hyperlink" Target="https://www.sec.gov/Archives/edgar/data/86312/000008631226000065/0000086312-26-000065-index.htm" TargetMode="External"/><Relationship Id="rId1291" Type="http://schemas.openxmlformats.org/officeDocument/2006/relationships/hyperlink" Target="https://s26.q4cdn.com/410417801/files/doc_financials/2025/AR/2026-Travelers-Annual-Report-Final.pdf" TargetMode="External"/><Relationship Id="rId1292" Type="http://schemas.openxmlformats.org/officeDocument/2006/relationships/hyperlink" Target="https://www.sec.gov/Archives/edgar/data/86312/000008631226000065/0000086312-26-000065-index.htm" TargetMode="External"/><Relationship Id="rId1293" Type="http://schemas.openxmlformats.org/officeDocument/2006/relationships/hyperlink" Target="https://s26.q4cdn.com/410417801/files/doc_financials/2025/AR/2026-Travelers-Annual-Report-Final.pdf" TargetMode="External"/><Relationship Id="rId1294" Type="http://schemas.openxmlformats.org/officeDocument/2006/relationships/hyperlink" Target="https://www.sec.gov/Archives/edgar/data/86312/000008631226000065/0000086312-26-000065-index.htm" TargetMode="External"/><Relationship Id="rId1295" Type="http://schemas.openxmlformats.org/officeDocument/2006/relationships/hyperlink" Target="https://s26.q4cdn.com/410417801/files/doc_financials/2025/AR/2026-Travelers-Annual-Report-Final.pdf" TargetMode="External"/><Relationship Id="rId1296" Type="http://schemas.openxmlformats.org/officeDocument/2006/relationships/hyperlink" Target="https://www.sec.gov/Archives/edgar/data/86312/000008631226000065/0000086312-26-000065-index.htm" TargetMode="External"/><Relationship Id="rId1297" Type="http://schemas.openxmlformats.org/officeDocument/2006/relationships/hyperlink" Target="https://s26.q4cdn.com/410417801/files/doc_financials/2025/AR/2026-Travelers-Annual-Report-Final.pdf" TargetMode="External"/><Relationship Id="rId1298" Type="http://schemas.openxmlformats.org/officeDocument/2006/relationships/hyperlink" Target="https://www.sec.gov/Archives/edgar/data/86312/000008631226000065/0000086312-26-000065-index.htm" TargetMode="External"/><Relationship Id="rId1299" Type="http://schemas.openxmlformats.org/officeDocument/2006/relationships/hyperlink" Target="https://s26.q4cdn.com/410417801/files/doc_financials/2025/AR/2026-Travelers-Annual-Report-Final.pdf" TargetMode="External"/><Relationship Id="rId1300" Type="http://schemas.openxmlformats.org/officeDocument/2006/relationships/hyperlink" Target="https://www.sec.gov/Archives/edgar/data/86312/000008631226000065/0000086312-26-000065-index.htm" TargetMode="External"/><Relationship Id="rId1301" Type="http://schemas.openxmlformats.org/officeDocument/2006/relationships/hyperlink" Target="https://s26.q4cdn.com/410417801/files/doc_financials/2025/AR/2026-Travelers-Annual-Report-Final.pdf" TargetMode="External"/><Relationship Id="rId1302" Type="http://schemas.openxmlformats.org/officeDocument/2006/relationships/hyperlink" Target="https://www.sec.gov/Archives/edgar/data/86312/000008631226000065/0000086312-26-000065-index.htm" TargetMode="External"/><Relationship Id="rId1303" Type="http://schemas.openxmlformats.org/officeDocument/2006/relationships/hyperlink" Target="https://s26.q4cdn.com/410417801/files/doc_financials/2025/AR/2026-Travelers-Annual-Report-Final.pdf" TargetMode="External"/><Relationship Id="rId1304" Type="http://schemas.openxmlformats.org/officeDocument/2006/relationships/hyperlink" Target="https://www.sec.gov/Archives/edgar/data/86312/000008631226000065/0000086312-26-000065-index.htm" TargetMode="External"/><Relationship Id="rId1305" Type="http://schemas.openxmlformats.org/officeDocument/2006/relationships/hyperlink" Target="https://s26.q4cdn.com/410417801/files/doc_financials/2025/AR/2026-Travelers-Annual-Report-Final.pdf" TargetMode="External"/><Relationship Id="rId1306" Type="http://schemas.openxmlformats.org/officeDocument/2006/relationships/hyperlink" Target="https://www.sec.gov/Archives/edgar/data/86312/000008631226000065/0000086312-26-000065-index.htm" TargetMode="External"/><Relationship Id="rId1307" Type="http://schemas.openxmlformats.org/officeDocument/2006/relationships/hyperlink" Target="https://s26.q4cdn.com/410417801/files/doc_financials/2025/AR/2026-Travelers-Annual-Report-Final.pdf" TargetMode="External"/><Relationship Id="rId1308" Type="http://schemas.openxmlformats.org/officeDocument/2006/relationships/hyperlink" Target="https://www.sec.gov/Archives/edgar/data/86312/000008631226000065/0000086312-26-000065-index.htm" TargetMode="External"/><Relationship Id="rId1309" Type="http://schemas.openxmlformats.org/officeDocument/2006/relationships/hyperlink" Target="https://s26.q4cdn.com/410417801/files/doc_financials/2025/AR/2026-Travelers-Annual-Report-Final.pdf" TargetMode="External"/><Relationship Id="rId1310" Type="http://schemas.openxmlformats.org/officeDocument/2006/relationships/hyperlink" Target="https://www.sec.gov/Archives/edgar/data/86312/000008631226000065/0000086312-26-000065-index.htm" TargetMode="External"/><Relationship Id="rId1311" Type="http://schemas.openxmlformats.org/officeDocument/2006/relationships/hyperlink" Target="https://s26.q4cdn.com/410417801/files/doc_financials/2025/AR/2026-Travelers-Annual-Report-Final.pdf" TargetMode="External"/><Relationship Id="rId1312" Type="http://schemas.openxmlformats.org/officeDocument/2006/relationships/hyperlink" Target="https://www.sec.gov/Archives/edgar/data/86312/000008631226000065/0000086312-26-000065-index.htm" TargetMode="External"/><Relationship Id="rId1313" Type="http://schemas.openxmlformats.org/officeDocument/2006/relationships/hyperlink" Target="https://s26.q4cdn.com/410417801/files/doc_financials/2025/AR/2026-Travelers-Annual-Report-Final.pdf" TargetMode="External"/><Relationship Id="rId1314" Type="http://schemas.openxmlformats.org/officeDocument/2006/relationships/hyperlink" Target="https://www.sec.gov/Archives/edgar/data/86312/000008631226000065/0000086312-26-000065-index.htm" TargetMode="External"/><Relationship Id="rId1315" Type="http://schemas.openxmlformats.org/officeDocument/2006/relationships/hyperlink" Target="https://s26.q4cdn.com/410417801/files/doc_financials/2025/AR/2026-Travelers-Annual-Report-Final.pdf" TargetMode="External"/><Relationship Id="rId1316" Type="http://schemas.openxmlformats.org/officeDocument/2006/relationships/hyperlink" Target="https://www.sec.gov/Archives/edgar/data/86312/000008631226000065/0000086312-26-000065-index.htm" TargetMode="External"/><Relationship Id="rId1317" Type="http://schemas.openxmlformats.org/officeDocument/2006/relationships/hyperlink" Target="https://s26.q4cdn.com/410417801/files/doc_financials/2025/AR/2026-Travelers-Annual-Report-Final.pdf" TargetMode="External"/><Relationship Id="rId1318" Type="http://schemas.openxmlformats.org/officeDocument/2006/relationships/hyperlink" Target="https://www.sec.gov/Archives/edgar/data/86312/000008631226000065/0000086312-26-000065-index.htm" TargetMode="External"/><Relationship Id="rId1319" Type="http://schemas.openxmlformats.org/officeDocument/2006/relationships/hyperlink" Target="https://s26.q4cdn.com/410417801/files/doc_financials/2025/AR/2026-Travelers-Annual-Report-Final.pdf" TargetMode="External"/><Relationship Id="rId1320" Type="http://schemas.openxmlformats.org/officeDocument/2006/relationships/hyperlink" Target="https://www.sec.gov/Archives/edgar/data/86312/000008631226000065/0000086312-26-000065-index.htm" TargetMode="External"/><Relationship Id="rId1321" Type="http://schemas.openxmlformats.org/officeDocument/2006/relationships/hyperlink" Target="https://s26.q4cdn.com/410417801/files/doc_financials/2025/AR/2026-Travelers-Annual-Report-Final.pdf" TargetMode="External"/><Relationship Id="rId1322" Type="http://schemas.openxmlformats.org/officeDocument/2006/relationships/hyperlink" Target="https://www.sec.gov/Archives/edgar/data/86312/000008631226000065/0000086312-26-000065-index.htm" TargetMode="External"/><Relationship Id="rId1323" Type="http://schemas.openxmlformats.org/officeDocument/2006/relationships/hyperlink" Target="https://s26.q4cdn.com/410417801/files/doc_financials/2025/AR/2026-Travelers-Annual-Report-Final.pdf" TargetMode="External"/><Relationship Id="rId1324" Type="http://schemas.openxmlformats.org/officeDocument/2006/relationships/hyperlink" Target="https://www.sec.gov/Archives/edgar/data/86312/000008631226000065/0000086312-26-000065-index.htm" TargetMode="External"/><Relationship Id="rId1325" Type="http://schemas.openxmlformats.org/officeDocument/2006/relationships/hyperlink" Target="https://s26.q4cdn.com/410417801/files/doc_financials/2025/AR/2026-Travelers-Annual-Report-Final.pdf" TargetMode="External"/><Relationship Id="rId1326" Type="http://schemas.openxmlformats.org/officeDocument/2006/relationships/hyperlink" Target="https://www.sec.gov/Archives/edgar/data/86312/000008631226000065/0000086312-26-000065-index.htm" TargetMode="External"/><Relationship Id="rId1327" Type="http://schemas.openxmlformats.org/officeDocument/2006/relationships/hyperlink" Target="https://s26.q4cdn.com/410417801/files/doc_financials/2025/AR/2026-Travelers-Annual-Report-Final.pdf" TargetMode="External"/><Relationship Id="rId1328" Type="http://schemas.openxmlformats.org/officeDocument/2006/relationships/hyperlink" Target="https://www.sec.gov/Archives/edgar/data/86312/000008631226000065/0000086312-26-000065-index.htm" TargetMode="External"/><Relationship Id="rId1329" Type="http://schemas.openxmlformats.org/officeDocument/2006/relationships/hyperlink" Target="https://s26.q4cdn.com/410417801/files/doc_financials/2025/AR/2026-Travelers-Annual-Report-Final.pdf" TargetMode="External"/><Relationship Id="rId1330" Type="http://schemas.openxmlformats.org/officeDocument/2006/relationships/hyperlink" Target="https://www.sec.gov/Archives/edgar/data/86312/000008631226000065/0000086312-26-000065-index.htm" TargetMode="External"/><Relationship Id="rId1331" Type="http://schemas.openxmlformats.org/officeDocument/2006/relationships/hyperlink" Target="https://s26.q4cdn.com/410417801/files/doc_financials/2025/AR/2026-Travelers-Annual-Report-Final.pdf" TargetMode="External"/><Relationship Id="rId1332" Type="http://schemas.openxmlformats.org/officeDocument/2006/relationships/hyperlink" Target="https://www.sec.gov/Archives/edgar/data/86312/000008631226000065/0000086312-26-000065-index.htm" TargetMode="External"/><Relationship Id="rId1333" Type="http://schemas.openxmlformats.org/officeDocument/2006/relationships/hyperlink" Target="https://s26.q4cdn.com/410417801/files/doc_financials/2025/AR/2026-Travelers-Annual-Report-Final.pdf" TargetMode="External"/><Relationship Id="rId1334" Type="http://schemas.openxmlformats.org/officeDocument/2006/relationships/hyperlink" Target="https://www.sec.gov/Archives/edgar/data/86312/000008631226000065/0000086312-26-000065-index.htm" TargetMode="External"/><Relationship Id="rId1335" Type="http://schemas.openxmlformats.org/officeDocument/2006/relationships/hyperlink" Target="https://s26.q4cdn.com/410417801/files/doc_financials/2025/AR/2026-Travelers-Annual-Report-Final.pdf" TargetMode="External"/><Relationship Id="rId1336" Type="http://schemas.openxmlformats.org/officeDocument/2006/relationships/hyperlink" Target="https://www.sec.gov/Archives/edgar/data/86312/000008631226000065/0000086312-26-000065-index.htm" TargetMode="External"/><Relationship Id="rId1337" Type="http://schemas.openxmlformats.org/officeDocument/2006/relationships/hyperlink" Target="https://s26.q4cdn.com/410417801/files/doc_financials/2025/AR/2026-Travelers-Annual-Report-Final.pdf" TargetMode="External"/><Relationship Id="rId1338" Type="http://schemas.openxmlformats.org/officeDocument/2006/relationships/hyperlink" Target="https://www.sec.gov/Archives/edgar/data/86312/000008631226000065/0000086312-26-000065-index.htm" TargetMode="External"/><Relationship Id="rId1339" Type="http://schemas.openxmlformats.org/officeDocument/2006/relationships/hyperlink" Target="https://s26.q4cdn.com/410417801/files/doc_financials/2025/AR/2026-Travelers-Annual-Report-Final.pdf" TargetMode="External"/><Relationship Id="rId1340" Type="http://schemas.openxmlformats.org/officeDocument/2006/relationships/hyperlink" Target="https://www.sec.gov/Archives/edgar/data/86312/000008631226000065/0000086312-26-000065-index.htm" TargetMode="External"/><Relationship Id="rId1341" Type="http://schemas.openxmlformats.org/officeDocument/2006/relationships/hyperlink" Target="https://s26.q4cdn.com/410417801/files/doc_financials/2025/AR/2026-Travelers-Annual-Report-Final.pdf" TargetMode="External"/><Relationship Id="rId1342" Type="http://schemas.openxmlformats.org/officeDocument/2006/relationships/hyperlink" Target="https://www.sec.gov/Archives/edgar/data/86312/000008631226000065/0000086312-26-000065-index.htm" TargetMode="External"/><Relationship Id="rId1343" Type="http://schemas.openxmlformats.org/officeDocument/2006/relationships/hyperlink" Target="https://s26.q4cdn.com/410417801/files/doc_financials/2025/AR/2026-Travelers-Annual-Report-Final.pdf" TargetMode="External"/><Relationship Id="rId1344" Type="http://schemas.openxmlformats.org/officeDocument/2006/relationships/hyperlink" Target="https://www.sec.gov/Archives/edgar/data/86312/000008631226000065/0000086312-26-000065-index.htm" TargetMode="External"/><Relationship Id="rId1345" Type="http://schemas.openxmlformats.org/officeDocument/2006/relationships/hyperlink" Target="https://s26.q4cdn.com/410417801/files/doc_financials/2025/AR/2026-Travelers-Annual-Report-Final.pdf" TargetMode="External"/><Relationship Id="rId1346" Type="http://schemas.openxmlformats.org/officeDocument/2006/relationships/hyperlink" Target="https://www.sec.gov/Archives/edgar/data/86312/000008631226000065/0000086312-26-000065-index.htm" TargetMode="External"/><Relationship Id="rId1347" Type="http://schemas.openxmlformats.org/officeDocument/2006/relationships/hyperlink" Target="https://s26.q4cdn.com/410417801/files/doc_financials/2025/AR/2026-Travelers-Annual-Report-Final.pdf" TargetMode="External"/><Relationship Id="rId1348" Type="http://schemas.openxmlformats.org/officeDocument/2006/relationships/hyperlink" Target="https://www.sec.gov/Archives/edgar/data/86312/000008631226000065/0000086312-26-000065-index.htm" TargetMode="External"/><Relationship Id="rId1349" Type="http://schemas.openxmlformats.org/officeDocument/2006/relationships/hyperlink" Target="https://s26.q4cdn.com/410417801/files/doc_financials/2025/AR/2026-Travelers-Annual-Report-Final.pdf" TargetMode="External"/><Relationship Id="rId1350" Type="http://schemas.openxmlformats.org/officeDocument/2006/relationships/hyperlink" Target="https://www.sec.gov/Archives/edgar/data/86312/000008631226000065/0000086312-26-000065-index.htm" TargetMode="External"/><Relationship Id="rId1351" Type="http://schemas.openxmlformats.org/officeDocument/2006/relationships/hyperlink" Target="https://s26.q4cdn.com/410417801/files/doc_financials/2025/AR/2026-Travelers-Annual-Report-Final.pdf" TargetMode="External"/><Relationship Id="rId1352" Type="http://schemas.openxmlformats.org/officeDocument/2006/relationships/hyperlink" Target="https://www.sec.gov/Archives/edgar/data/86312/000008631226000065/0000086312-26-000065-index.htm" TargetMode="External"/><Relationship Id="rId1353" Type="http://schemas.openxmlformats.org/officeDocument/2006/relationships/hyperlink" Target="https://s26.q4cdn.com/410417801/files/doc_financials/2025/AR/2026-Travelers-Annual-Report-Final.pdf" TargetMode="External"/><Relationship Id="rId1354" Type="http://schemas.openxmlformats.org/officeDocument/2006/relationships/hyperlink" Target="https://www.sec.gov/Archives/edgar/data/86312/000008631226000065/0000086312-26-000065-index.htm" TargetMode="External"/><Relationship Id="rId1355" Type="http://schemas.openxmlformats.org/officeDocument/2006/relationships/hyperlink" Target="https://s26.q4cdn.com/410417801/files/doc_financials/2025/AR/2026-Travelers-Annual-Report-Final.pdf" TargetMode="External"/><Relationship Id="rId1356" Type="http://schemas.openxmlformats.org/officeDocument/2006/relationships/hyperlink" Target="https://www.sec.gov/Archives/edgar/data/86312/000008631226000065/0000086312-26-000065-index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D12"/>
  <sheetViews>
    <sheetView showGridLines="0" tabSelected="1" workbookViewId="0"/>
  </sheetViews>
  <sheetFormatPr defaultRowHeight="15"/>
  <cols>
    <col min="3" max="3" width="73.7109375" customWidth="1"/>
    <col min="4" max="4" width="54.7109375" customWidth="1"/>
  </cols>
  <sheetData>
    <row r="3" spans="3:4">
      <c r="C3" s="1" t="s">
        <v>312</v>
      </c>
    </row>
    <row r="4" spans="3:4">
      <c r="C4" t="s">
        <v>313</v>
      </c>
    </row>
    <row r="6" spans="3:4">
      <c r="C6" t="s">
        <v>314</v>
      </c>
    </row>
    <row r="8" spans="3:4">
      <c r="C8" t="s">
        <v>315</v>
      </c>
      <c r="D8" t="s">
        <v>145</v>
      </c>
    </row>
    <row r="9" spans="3:4">
      <c r="C9" t="s">
        <v>3</v>
      </c>
      <c r="D9" t="s">
        <v>316</v>
      </c>
    </row>
    <row r="10" spans="3:4">
      <c r="C10" t="s">
        <v>317</v>
      </c>
      <c r="D10" t="s">
        <v>318</v>
      </c>
    </row>
    <row r="11" spans="3:4">
      <c r="C11" t="s">
        <v>319</v>
      </c>
    </row>
    <row r="12" spans="3:4">
      <c r="C12" t="s">
        <v>320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2:R25"/>
  <sheetViews>
    <sheetView showGridLines="0" workbookViewId="0"/>
  </sheetViews>
  <sheetFormatPr defaultRowHeight="15"/>
  <cols>
    <col min="3" max="3" width="43.7109375" customWidth="1"/>
    <col min="4" max="6" width="3.7109375" customWidth="1"/>
    <col min="7" max="18" width="14.7109375" customWidth="1"/>
  </cols>
  <sheetData>
    <row r="2" spans="3:18">
      <c r="C2" s="1" t="s">
        <v>304</v>
      </c>
    </row>
    <row r="3" spans="3:18">
      <c r="C3" t="s">
        <v>305</v>
      </c>
    </row>
    <row r="5" spans="3:18">
      <c r="C5" t="str">
        <f>Scenarios!D6</f>
        <v>Base</v>
      </c>
    </row>
    <row r="7" spans="3:18">
      <c r="G7" s="2">
        <v>2019</v>
      </c>
      <c r="H7" s="2">
        <v>2020</v>
      </c>
      <c r="I7" s="2">
        <v>2021</v>
      </c>
      <c r="J7" s="2">
        <v>2022</v>
      </c>
      <c r="K7" s="2">
        <v>2023</v>
      </c>
      <c r="L7" s="2">
        <v>2024</v>
      </c>
      <c r="M7" s="2">
        <v>2025</v>
      </c>
      <c r="N7" s="2">
        <v>2026</v>
      </c>
      <c r="O7" s="2">
        <v>2027</v>
      </c>
      <c r="P7" s="2">
        <v>2028</v>
      </c>
      <c r="Q7" s="2">
        <v>2029</v>
      </c>
      <c r="R7" s="2">
        <v>2030</v>
      </c>
    </row>
    <row r="9" spans="3:18">
      <c r="C9" t="s">
        <v>169</v>
      </c>
      <c r="H9" s="3">
        <f>Model!H13</f>
        <v>31763</v>
      </c>
      <c r="I9" s="3">
        <f>Model!I13</f>
        <v>34244</v>
      </c>
      <c r="J9" s="3">
        <f>Model!J13</f>
        <v>37876</v>
      </c>
      <c r="K9" s="3">
        <f>Model!K13</f>
        <v>42972</v>
      </c>
      <c r="L9" s="3">
        <f>Model!L13</f>
        <v>46550</v>
      </c>
      <c r="M9" s="3">
        <f>Model!M13</f>
        <v>47730</v>
      </c>
      <c r="N9" s="3">
        <f>Model!N13</f>
        <v>49639.200000000004</v>
      </c>
      <c r="O9" s="3">
        <f>Model!O13</f>
        <v>51624.768000000004</v>
      </c>
      <c r="P9" s="3">
        <f>Model!P13</f>
        <v>53689.758720000005</v>
      </c>
      <c r="Q9" s="3">
        <f>Model!Q13</f>
        <v>55837.34906880001</v>
      </c>
      <c r="R9" s="3">
        <f>Model!R13</f>
        <v>58070.84303155201</v>
      </c>
    </row>
    <row r="10" spans="3:18">
      <c r="C10" t="s">
        <v>171</v>
      </c>
      <c r="H10" s="3">
        <f>Model!H15</f>
        <v>29732</v>
      </c>
      <c r="I10" s="3">
        <f>Model!I15</f>
        <v>31959</v>
      </c>
      <c r="J10" s="3">
        <f>Model!J15</f>
        <v>35414</v>
      </c>
      <c r="K10" s="3">
        <f>Model!K15</f>
        <v>40201</v>
      </c>
      <c r="L10" s="3">
        <f>Model!L15</f>
        <v>43356</v>
      </c>
      <c r="M10" s="3">
        <f>Model!M15</f>
        <v>44387</v>
      </c>
      <c r="N10" s="3">
        <f>Model!N15</f>
        <v>46164.456000000006</v>
      </c>
      <c r="O10" s="3">
        <f>Model!O15</f>
        <v>48011.03424</v>
      </c>
      <c r="P10" s="3">
        <f>Model!P15</f>
        <v>49931.475609600006</v>
      </c>
      <c r="Q10" s="3">
        <f>Model!Q15</f>
        <v>51928.73463398401</v>
      </c>
      <c r="R10" s="3">
        <f>Model!R15</f>
        <v>54005.88401934337</v>
      </c>
    </row>
    <row r="11" spans="3:18">
      <c r="C11" t="s">
        <v>178</v>
      </c>
      <c r="H11" s="3">
        <f>Model!H22</f>
        <v>29044</v>
      </c>
      <c r="I11" s="3">
        <f>Model!I22</f>
        <v>30855</v>
      </c>
      <c r="J11" s="3">
        <f>Model!J22</f>
        <v>33763</v>
      </c>
      <c r="K11" s="3">
        <f>Model!K22</f>
        <v>37761</v>
      </c>
      <c r="L11" s="3">
        <f>Model!L22</f>
        <v>41941</v>
      </c>
      <c r="M11" s="3">
        <f>Model!M22</f>
        <v>43914</v>
      </c>
      <c r="N11" s="3">
        <f>Model!N22</f>
        <v>45615.16168000001</v>
      </c>
      <c r="O11" s="3">
        <f>Model!O22</f>
        <v>47143.14246720001</v>
      </c>
      <c r="P11" s="3">
        <f>Model!P22</f>
        <v>49028.868165888</v>
      </c>
      <c r="Q11" s="3">
        <f>Model!Q22</f>
        <v>50990.02289252353</v>
      </c>
      <c r="R11" s="3">
        <f>Model!R22</f>
        <v>53029.62380822447</v>
      </c>
    </row>
    <row r="12" spans="3:18">
      <c r="C12" t="s">
        <v>191</v>
      </c>
      <c r="G12" s="3">
        <f>Model!G37</f>
        <v>43801</v>
      </c>
      <c r="H12" s="3">
        <f>Model!H37</f>
        <v>46357</v>
      </c>
      <c r="I12" s="3">
        <f>Model!I37</f>
        <v>48688</v>
      </c>
      <c r="J12" s="3">
        <f>Model!J37</f>
        <v>50853</v>
      </c>
      <c r="K12" s="3">
        <f>Model!K37</f>
        <v>53804</v>
      </c>
      <c r="L12" s="3">
        <f>Model!L37</f>
        <v>56419</v>
      </c>
      <c r="M12" s="3">
        <f>Model!M37</f>
        <v>59846</v>
      </c>
      <c r="N12" s="3">
        <f>Model!N37</f>
        <v>64181.51615462401</v>
      </c>
      <c r="O12" s="3">
        <f>Model!O37</f>
        <v>68126.16637004545</v>
      </c>
      <c r="P12" s="3">
        <f>Model!P37</f>
        <v>71911.80299315936</v>
      </c>
      <c r="Q12" s="3">
        <f>Model!Q37</f>
        <v>75604.92938848605</v>
      </c>
      <c r="R12" s="3">
        <f>Model!R37</f>
        <v>79257.95035623772</v>
      </c>
    </row>
    <row r="13" spans="3:18">
      <c r="C13" t="s">
        <v>306</v>
      </c>
      <c r="H13" s="3">
        <f>Model!H31</f>
        <v>19018</v>
      </c>
      <c r="I13" s="3">
        <f>Model!I31</f>
        <v>20214</v>
      </c>
      <c r="J13" s="3">
        <f>Model!J31</f>
        <v>22771</v>
      </c>
      <c r="K13" s="3">
        <f>Model!K31</f>
        <v>26121</v>
      </c>
      <c r="L13" s="3">
        <f>Model!L31</f>
        <v>26960</v>
      </c>
      <c r="M13" s="3">
        <f>Model!M31</f>
        <v>27112</v>
      </c>
      <c r="N13" s="3">
        <f>Model!N31</f>
        <v>28595.243475200008</v>
      </c>
      <c r="O13" s="3">
        <f>Model!O31</f>
        <v>29529.796017461762</v>
      </c>
      <c r="P13" s="3">
        <f>Model!P31</f>
        <v>30697.213962467868</v>
      </c>
      <c r="Q13" s="3">
        <f>Model!Q31</f>
        <v>31914.496621283466</v>
      </c>
      <c r="R13" s="3">
        <f>Model!R31</f>
        <v>33182.9099433788</v>
      </c>
    </row>
    <row r="14" spans="3:18">
      <c r="C14" t="s">
        <v>307</v>
      </c>
      <c r="N14" s="3">
        <f>Model!N56</f>
        <v>12544.169462000003</v>
      </c>
      <c r="O14" s="3">
        <f>Model!O56</f>
        <v>12964.364178480002</v>
      </c>
      <c r="P14" s="3">
        <f>Model!P56</f>
        <v>13482.938745619202</v>
      </c>
      <c r="Q14" s="3">
        <f>Model!Q56</f>
        <v>14022.25629544397</v>
      </c>
      <c r="R14" s="3">
        <f>Model!R56</f>
        <v>14583.14654726173</v>
      </c>
    </row>
    <row r="15" spans="3:18">
      <c r="C15" t="s">
        <v>308</v>
      </c>
      <c r="N15" s="4">
        <f>(Model!N31+Model!N56)/Model!N22</f>
        <v>0.9018802394213064</v>
      </c>
      <c r="O15" s="4">
        <f>(Model!O31+Model!O56)/Model!O22</f>
        <v>0.9013858213950674</v>
      </c>
      <c r="P15" s="4">
        <f>(Model!P31+Model!P56)/Model!P22</f>
        <v>0.901104886994425</v>
      </c>
      <c r="Q15" s="4">
        <f>(Model!Q31+Model!Q56)/Model!Q22</f>
        <v>0.900896887486257</v>
      </c>
      <c r="R15" s="4">
        <f>(Model!R31+Model!R56)/Model!R22</f>
        <v>0.9007428878504018</v>
      </c>
    </row>
    <row r="16" spans="3:18">
      <c r="C16" t="s">
        <v>213</v>
      </c>
      <c r="G16" s="3">
        <f>Model!G65</f>
        <v>77884</v>
      </c>
      <c r="H16" s="3">
        <f>Model!H65</f>
        <v>84423</v>
      </c>
      <c r="I16" s="3">
        <f>Model!I65</f>
        <v>87375</v>
      </c>
      <c r="J16" s="3">
        <f>Model!J65</f>
        <v>80454</v>
      </c>
      <c r="K16" s="3">
        <f>Model!K65</f>
        <v>88810</v>
      </c>
      <c r="L16" s="3">
        <f>Model!L65</f>
        <v>94223</v>
      </c>
      <c r="M16" s="3">
        <f>Model!M65</f>
        <v>101182</v>
      </c>
    </row>
    <row r="17" spans="3:13">
      <c r="C17" t="s">
        <v>218</v>
      </c>
      <c r="H17" s="3">
        <f>Model!H70</f>
        <v>2227</v>
      </c>
      <c r="I17" s="3">
        <f>Model!I70</f>
        <v>3033</v>
      </c>
      <c r="J17" s="3">
        <f>Model!J70</f>
        <v>2562</v>
      </c>
      <c r="K17" s="3">
        <f>Model!K70</f>
        <v>2922</v>
      </c>
      <c r="L17" s="3">
        <f>Model!L70</f>
        <v>3590</v>
      </c>
      <c r="M17" s="3">
        <f>Model!M70</f>
        <v>3959</v>
      </c>
    </row>
    <row r="18" spans="3:13">
      <c r="C18" t="s">
        <v>221</v>
      </c>
      <c r="G18" s="3">
        <f>Model!G86</f>
        <v>25943</v>
      </c>
      <c r="H18" s="3">
        <f>Model!H86</f>
        <v>29201</v>
      </c>
      <c r="I18" s="3">
        <f>Model!I86</f>
        <v>28887</v>
      </c>
      <c r="J18" s="3">
        <f>Model!J86</f>
        <v>21560</v>
      </c>
      <c r="K18" s="3">
        <f>Model!K86</f>
        <v>24921</v>
      </c>
      <c r="L18" s="3">
        <f>Model!L86</f>
        <v>27864</v>
      </c>
      <c r="M18" s="3">
        <f>Model!M86</f>
        <v>32894</v>
      </c>
    </row>
    <row r="19" spans="3:13">
      <c r="C19" t="s">
        <v>223</v>
      </c>
      <c r="H19" s="3">
        <f>Model!H77</f>
        <v>2697</v>
      </c>
      <c r="I19" s="3">
        <f>Model!I77</f>
        <v>3662</v>
      </c>
      <c r="J19" s="3">
        <f>Model!J77</f>
        <v>2842</v>
      </c>
      <c r="K19" s="3">
        <f>Model!K77</f>
        <v>2991</v>
      </c>
      <c r="L19" s="3">
        <f>Model!L77</f>
        <v>4999</v>
      </c>
      <c r="M19" s="3">
        <f>Model!M77</f>
        <v>6288</v>
      </c>
    </row>
    <row r="20" spans="3:13">
      <c r="C20" t="s">
        <v>309</v>
      </c>
      <c r="G20" s="3">
        <f>Model!G101</f>
        <v>494</v>
      </c>
      <c r="H20" s="3">
        <f>Model!H101</f>
        <v>721</v>
      </c>
      <c r="I20" s="3">
        <f>Model!I101</f>
        <v>761</v>
      </c>
      <c r="J20" s="3">
        <f>Model!J101</f>
        <v>799</v>
      </c>
      <c r="K20" s="3">
        <f>Model!K101</f>
        <v>650</v>
      </c>
      <c r="L20" s="3">
        <f>Model!L101</f>
        <v>699</v>
      </c>
      <c r="M20" s="3">
        <f>Model!M101</f>
        <v>842</v>
      </c>
    </row>
    <row r="23" spans="3:13">
      <c r="C23" t="s">
        <v>310</v>
      </c>
    </row>
    <row r="25" spans="3:13">
      <c r="C25" s="5" t="s">
        <v>311</v>
      </c>
      <c r="M25" s="5" t="str">
        <f>IF(SUM(ABS(Model!H25),ABS(Model!I25),ABS(Model!J25),ABS(Model!K25),ABS(Model!L25),ABS(Model!M25),ABS(Model!H53),ABS(Model!I53),ABS(Model!J53),ABS(Model!K53),ABS(Model!L53),ABS(Model!M53),ABS(Model!H69),ABS(Model!I69),ABS(Model!J69),ABS(Model!K69),ABS(Model!L69),ABS(Model!M69),ABS(Model!H95),ABS(Model!I95),ABS(Model!J95),ABS(Model!K95),ABS(Model!L95),ABS(Model!M95))&gt;0.01,"OPEN: historical stock bridges","PASS")</f>
        <v>OPEN: historical stock bridges</v>
      </c>
    </row>
  </sheetData>
  <conditionalFormatting sqref="M25">
    <cfRule type="containsText" dxfId="0" priority="1" operator="containsText" text="OPEN">
      <formula>NOT(ISERROR(SEARCH("OPEN",M25)))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C2:R57"/>
  <sheetViews>
    <sheetView showGridLines="0" workbookViewId="0"/>
  </sheetViews>
  <sheetFormatPr defaultRowHeight="15"/>
  <cols>
    <col min="3" max="3" width="53.7109375" customWidth="1"/>
    <col min="4" max="13" width="3.7109375" customWidth="1"/>
    <col min="14" max="18" width="14.7109375" customWidth="1"/>
  </cols>
  <sheetData>
    <row r="2" spans="3:18">
      <c r="C2" s="1" t="s">
        <v>290</v>
      </c>
    </row>
    <row r="3" spans="3:18">
      <c r="C3" t="s">
        <v>291</v>
      </c>
    </row>
    <row r="5" spans="3:18">
      <c r="C5" t="str">
        <f>Scenarios!D6</f>
        <v>Base</v>
      </c>
    </row>
    <row r="7" spans="3:18">
      <c r="N7" s="2">
        <v>2026</v>
      </c>
      <c r="O7" s="2">
        <v>2027</v>
      </c>
      <c r="P7" s="2">
        <v>2028</v>
      </c>
      <c r="Q7" s="2">
        <v>2029</v>
      </c>
      <c r="R7" s="2">
        <v>2030</v>
      </c>
    </row>
    <row r="9" spans="3:18">
      <c r="C9" s="5" t="s">
        <v>292</v>
      </c>
      <c r="N9" s="4">
        <f>IF(Scenarios!$D$6="Base",N10,IF(Scenarios!$D$6="Upside",N11,N12))</f>
        <v>0.04</v>
      </c>
      <c r="O9" s="4">
        <f>IF(Scenarios!$D$6="Base",O10,IF(Scenarios!$D$6="Upside",O11,O12))</f>
        <v>0.04</v>
      </c>
      <c r="P9" s="4">
        <f>IF(Scenarios!$D$6="Base",P10,IF(Scenarios!$D$6="Upside",P11,P12))</f>
        <v>0.04</v>
      </c>
      <c r="Q9" s="4">
        <f>IF(Scenarios!$D$6="Base",Q10,IF(Scenarios!$D$6="Upside",Q11,Q12))</f>
        <v>0.04</v>
      </c>
      <c r="R9" s="4">
        <f>IF(Scenarios!$D$6="Base",R10,IF(Scenarios!$D$6="Upside",R11,R12))</f>
        <v>0.04</v>
      </c>
    </row>
    <row r="10" spans="3:18">
      <c r="C10" t="s">
        <v>287</v>
      </c>
      <c r="N10" s="6">
        <v>0.04</v>
      </c>
      <c r="O10" s="6">
        <v>0.04</v>
      </c>
      <c r="P10" s="6">
        <v>0.04</v>
      </c>
      <c r="Q10" s="6">
        <v>0.04</v>
      </c>
      <c r="R10" s="6">
        <v>0.04</v>
      </c>
    </row>
    <row r="11" spans="3:18">
      <c r="C11" t="s">
        <v>293</v>
      </c>
      <c r="N11" s="6">
        <v>0.07000000000000001</v>
      </c>
      <c r="O11" s="6">
        <v>0.07000000000000001</v>
      </c>
      <c r="P11" s="6">
        <v>0.07000000000000001</v>
      </c>
      <c r="Q11" s="6">
        <v>0.07000000000000001</v>
      </c>
      <c r="R11" s="6">
        <v>0.07000000000000001</v>
      </c>
    </row>
    <row r="12" spans="3:18">
      <c r="C12" t="s">
        <v>294</v>
      </c>
      <c r="N12" s="6">
        <v>0.01</v>
      </c>
      <c r="O12" s="6">
        <v>0.01</v>
      </c>
      <c r="P12" s="6">
        <v>0.01</v>
      </c>
      <c r="Q12" s="6">
        <v>0.01</v>
      </c>
      <c r="R12" s="6">
        <v>0.01</v>
      </c>
    </row>
    <row r="14" spans="3:18">
      <c r="C14" s="5" t="s">
        <v>295</v>
      </c>
      <c r="N14" s="4">
        <f>IF(Scenarios!$D$6="Base",N15,IF(Scenarios!$D$6="Upside",N16,N17))</f>
        <v>0.07</v>
      </c>
      <c r="O14" s="4">
        <f>IF(Scenarios!$D$6="Base",O15,IF(Scenarios!$D$6="Upside",O16,O17))</f>
        <v>0.07</v>
      </c>
      <c r="P14" s="4">
        <f>IF(Scenarios!$D$6="Base",P15,IF(Scenarios!$D$6="Upside",P16,P17))</f>
        <v>0.07</v>
      </c>
      <c r="Q14" s="4">
        <f>IF(Scenarios!$D$6="Base",Q15,IF(Scenarios!$D$6="Upside",Q16,Q17))</f>
        <v>0.07</v>
      </c>
      <c r="R14" s="4">
        <f>IF(Scenarios!$D$6="Base",R15,IF(Scenarios!$D$6="Upside",R16,R17))</f>
        <v>0.07</v>
      </c>
    </row>
    <row r="15" spans="3:18">
      <c r="C15" t="s">
        <v>287</v>
      </c>
      <c r="N15" s="6">
        <v>0.07000000000000001</v>
      </c>
      <c r="O15" s="6">
        <v>0.07000000000000001</v>
      </c>
      <c r="P15" s="6">
        <v>0.07000000000000001</v>
      </c>
      <c r="Q15" s="6">
        <v>0.07000000000000001</v>
      </c>
      <c r="R15" s="6">
        <v>0.07000000000000001</v>
      </c>
    </row>
    <row r="16" spans="3:18">
      <c r="C16" t="s">
        <v>293</v>
      </c>
      <c r="N16" s="6">
        <v>0.06</v>
      </c>
      <c r="O16" s="6">
        <v>0.06</v>
      </c>
      <c r="P16" s="6">
        <v>0.06</v>
      </c>
      <c r="Q16" s="6">
        <v>0.06</v>
      </c>
      <c r="R16" s="6">
        <v>0.06</v>
      </c>
    </row>
    <row r="17" spans="3:18">
      <c r="C17" t="s">
        <v>294</v>
      </c>
      <c r="N17" s="6">
        <v>0.09</v>
      </c>
      <c r="O17" s="6">
        <v>0.09</v>
      </c>
      <c r="P17" s="6">
        <v>0.09</v>
      </c>
      <c r="Q17" s="6">
        <v>0.09</v>
      </c>
      <c r="R17" s="6">
        <v>0.09</v>
      </c>
    </row>
    <row r="19" spans="3:18">
      <c r="C19" s="5" t="s">
        <v>296</v>
      </c>
      <c r="N19" s="4">
        <f>IF(Scenarios!$D$6="Base",N20,IF(Scenarios!$D$6="Upside",N21,N22))</f>
        <v>0.47</v>
      </c>
      <c r="O19" s="4">
        <f>IF(Scenarios!$D$6="Base",O20,IF(Scenarios!$D$6="Upside",O21,O22))</f>
        <v>0.47</v>
      </c>
      <c r="P19" s="4">
        <f>IF(Scenarios!$D$6="Base",P20,IF(Scenarios!$D$6="Upside",P21,P22))</f>
        <v>0.47</v>
      </c>
      <c r="Q19" s="4">
        <f>IF(Scenarios!$D$6="Base",Q20,IF(Scenarios!$D$6="Upside",Q21,Q22))</f>
        <v>0.47</v>
      </c>
      <c r="R19" s="4">
        <f>IF(Scenarios!$D$6="Base",R20,IF(Scenarios!$D$6="Upside",R21,R22))</f>
        <v>0.47</v>
      </c>
    </row>
    <row r="20" spans="3:18">
      <c r="C20" t="s">
        <v>287</v>
      </c>
      <c r="N20" s="6">
        <v>0.47</v>
      </c>
      <c r="O20" s="6">
        <v>0.47</v>
      </c>
      <c r="P20" s="6">
        <v>0.47</v>
      </c>
      <c r="Q20" s="6">
        <v>0.47</v>
      </c>
      <c r="R20" s="6">
        <v>0.47</v>
      </c>
    </row>
    <row r="21" spans="3:18">
      <c r="C21" t="s">
        <v>293</v>
      </c>
      <c r="N21" s="6">
        <v>0.46</v>
      </c>
      <c r="O21" s="6">
        <v>0.46</v>
      </c>
      <c r="P21" s="6">
        <v>0.46</v>
      </c>
      <c r="Q21" s="6">
        <v>0.46</v>
      </c>
      <c r="R21" s="6">
        <v>0.46</v>
      </c>
    </row>
    <row r="22" spans="3:18">
      <c r="C22" t="s">
        <v>294</v>
      </c>
      <c r="N22" s="6">
        <v>0.49</v>
      </c>
      <c r="O22" s="6">
        <v>0.49</v>
      </c>
      <c r="P22" s="6">
        <v>0.49</v>
      </c>
      <c r="Q22" s="6">
        <v>0.49</v>
      </c>
      <c r="R22" s="6">
        <v>0.49</v>
      </c>
    </row>
    <row r="24" spans="3:18">
      <c r="C24" s="5" t="s">
        <v>297</v>
      </c>
      <c r="N24" s="4">
        <f>IF(Scenarios!$D$6="Base",N25,IF(Scenarios!$D$6="Upside",N26,N27))</f>
        <v>0.59</v>
      </c>
      <c r="O24" s="4">
        <f>IF(Scenarios!$D$6="Base",O25,IF(Scenarios!$D$6="Upside",O26,O27))</f>
        <v>0.59</v>
      </c>
      <c r="P24" s="4">
        <f>IF(Scenarios!$D$6="Base",P25,IF(Scenarios!$D$6="Upside",P26,P27))</f>
        <v>0.59</v>
      </c>
      <c r="Q24" s="4">
        <f>IF(Scenarios!$D$6="Base",Q25,IF(Scenarios!$D$6="Upside",Q26,Q27))</f>
        <v>0.59</v>
      </c>
      <c r="R24" s="4">
        <f>IF(Scenarios!$D$6="Base",R25,IF(Scenarios!$D$6="Upside",R26,R27))</f>
        <v>0.59</v>
      </c>
    </row>
    <row r="25" spans="3:18">
      <c r="C25" t="s">
        <v>287</v>
      </c>
      <c r="N25" s="6">
        <v>0.59</v>
      </c>
      <c r="O25" s="6">
        <v>0.59</v>
      </c>
      <c r="P25" s="6">
        <v>0.59</v>
      </c>
      <c r="Q25" s="6">
        <v>0.59</v>
      </c>
      <c r="R25" s="6">
        <v>0.59</v>
      </c>
    </row>
    <row r="26" spans="3:18">
      <c r="C26" t="s">
        <v>293</v>
      </c>
      <c r="N26" s="6">
        <v>0.55</v>
      </c>
      <c r="O26" s="6">
        <v>0.55</v>
      </c>
      <c r="P26" s="6">
        <v>0.55</v>
      </c>
      <c r="Q26" s="6">
        <v>0.55</v>
      </c>
      <c r="R26" s="6">
        <v>0.55</v>
      </c>
    </row>
    <row r="27" spans="3:18">
      <c r="C27" t="s">
        <v>294</v>
      </c>
      <c r="N27" s="6">
        <v>0.64</v>
      </c>
      <c r="O27" s="6">
        <v>0.64</v>
      </c>
      <c r="P27" s="6">
        <v>0.64</v>
      </c>
      <c r="Q27" s="6">
        <v>0.64</v>
      </c>
      <c r="R27" s="6">
        <v>0.64</v>
      </c>
    </row>
    <row r="29" spans="3:18">
      <c r="C29" s="5" t="s">
        <v>298</v>
      </c>
      <c r="N29" s="4">
        <f>IF(Scenarios!$D$6="Base",N30,IF(Scenarios!$D$6="Upside",N31,N32))</f>
        <v>0.05</v>
      </c>
      <c r="O29" s="4">
        <f>IF(Scenarios!$D$6="Base",O30,IF(Scenarios!$D$6="Upside",O31,O32))</f>
        <v>0.05</v>
      </c>
      <c r="P29" s="4">
        <f>IF(Scenarios!$D$6="Base",P30,IF(Scenarios!$D$6="Upside",P31,P32))</f>
        <v>0.05</v>
      </c>
      <c r="Q29" s="4">
        <f>IF(Scenarios!$D$6="Base",Q30,IF(Scenarios!$D$6="Upside",Q31,Q32))</f>
        <v>0.05</v>
      </c>
      <c r="R29" s="4">
        <f>IF(Scenarios!$D$6="Base",R30,IF(Scenarios!$D$6="Upside",R31,R32))</f>
        <v>0.05</v>
      </c>
    </row>
    <row r="30" spans="3:18">
      <c r="C30" t="s">
        <v>287</v>
      </c>
      <c r="N30" s="6">
        <v>0.05</v>
      </c>
      <c r="O30" s="6">
        <v>0.05</v>
      </c>
      <c r="P30" s="6">
        <v>0.05</v>
      </c>
      <c r="Q30" s="6">
        <v>0.05</v>
      </c>
      <c r="R30" s="6">
        <v>0.05</v>
      </c>
    </row>
    <row r="31" spans="3:18">
      <c r="C31" t="s">
        <v>293</v>
      </c>
      <c r="N31" s="6">
        <v>0.035</v>
      </c>
      <c r="O31" s="6">
        <v>0.035</v>
      </c>
      <c r="P31" s="6">
        <v>0.035</v>
      </c>
      <c r="Q31" s="6">
        <v>0.035</v>
      </c>
      <c r="R31" s="6">
        <v>0.035</v>
      </c>
    </row>
    <row r="32" spans="3:18">
      <c r="C32" t="s">
        <v>294</v>
      </c>
      <c r="N32" s="6">
        <v>0.075</v>
      </c>
      <c r="O32" s="6">
        <v>0.075</v>
      </c>
      <c r="P32" s="6">
        <v>0.075</v>
      </c>
      <c r="Q32" s="6">
        <v>0.075</v>
      </c>
      <c r="R32" s="6">
        <v>0.075</v>
      </c>
    </row>
    <row r="34" spans="3:18">
      <c r="C34" s="5" t="s">
        <v>299</v>
      </c>
      <c r="N34" s="4">
        <f>IF(Scenarios!$D$6="Base",N35,IF(Scenarios!$D$6="Upside",N36,N37))</f>
        <v>-0.01</v>
      </c>
      <c r="O34" s="4">
        <f>IF(Scenarios!$D$6="Base",O35,IF(Scenarios!$D$6="Upside",O36,O37))</f>
        <v>-0.01</v>
      </c>
      <c r="P34" s="4">
        <f>IF(Scenarios!$D$6="Base",P35,IF(Scenarios!$D$6="Upside",P36,P37))</f>
        <v>-0.01</v>
      </c>
      <c r="Q34" s="4">
        <f>IF(Scenarios!$D$6="Base",Q35,IF(Scenarios!$D$6="Upside",Q36,Q37))</f>
        <v>-0.01</v>
      </c>
      <c r="R34" s="4">
        <f>IF(Scenarios!$D$6="Base",R35,IF(Scenarios!$D$6="Upside",R36,R37))</f>
        <v>-0.01</v>
      </c>
    </row>
    <row r="35" spans="3:18">
      <c r="C35" t="s">
        <v>287</v>
      </c>
      <c r="N35" s="6">
        <v>-0.01</v>
      </c>
      <c r="O35" s="6">
        <v>-0.01</v>
      </c>
      <c r="P35" s="6">
        <v>-0.01</v>
      </c>
      <c r="Q35" s="6">
        <v>-0.01</v>
      </c>
      <c r="R35" s="6">
        <v>-0.01</v>
      </c>
    </row>
    <row r="36" spans="3:18">
      <c r="C36" t="s">
        <v>293</v>
      </c>
      <c r="N36" s="6">
        <v>-0.02</v>
      </c>
      <c r="O36" s="6">
        <v>-0.02</v>
      </c>
      <c r="P36" s="6">
        <v>-0.02</v>
      </c>
      <c r="Q36" s="6">
        <v>-0.02</v>
      </c>
      <c r="R36" s="6">
        <v>-0.02</v>
      </c>
    </row>
    <row r="37" spans="3:18">
      <c r="C37" t="s">
        <v>294</v>
      </c>
      <c r="N37" s="6">
        <v>0.01</v>
      </c>
      <c r="O37" s="6">
        <v>0.01</v>
      </c>
      <c r="P37" s="6">
        <v>0.01</v>
      </c>
      <c r="Q37" s="6">
        <v>0.01</v>
      </c>
      <c r="R37" s="6">
        <v>0.01</v>
      </c>
    </row>
    <row r="39" spans="3:18">
      <c r="C39" s="5" t="s">
        <v>300</v>
      </c>
      <c r="N39" s="4">
        <f>IF(Scenarios!$D$6="Base",N40,IF(Scenarios!$D$6="Upside",N41,N42))</f>
        <v>0.38</v>
      </c>
      <c r="O39" s="4">
        <f>IF(Scenarios!$D$6="Base",O40,IF(Scenarios!$D$6="Upside",O41,O42))</f>
        <v>0.38</v>
      </c>
      <c r="P39" s="4">
        <f>IF(Scenarios!$D$6="Base",P40,IF(Scenarios!$D$6="Upside",P41,P42))</f>
        <v>0.38</v>
      </c>
      <c r="Q39" s="4">
        <f>IF(Scenarios!$D$6="Base",Q40,IF(Scenarios!$D$6="Upside",Q41,Q42))</f>
        <v>0.38</v>
      </c>
      <c r="R39" s="4">
        <f>IF(Scenarios!$D$6="Base",R40,IF(Scenarios!$D$6="Upside",R41,R42))</f>
        <v>0.38</v>
      </c>
    </row>
    <row r="40" spans="3:18">
      <c r="C40" t="s">
        <v>287</v>
      </c>
      <c r="N40" s="6">
        <v>0.38</v>
      </c>
      <c r="O40" s="6">
        <v>0.38</v>
      </c>
      <c r="P40" s="6">
        <v>0.38</v>
      </c>
      <c r="Q40" s="6">
        <v>0.38</v>
      </c>
      <c r="R40" s="6">
        <v>0.38</v>
      </c>
    </row>
    <row r="41" spans="3:18">
      <c r="C41" t="s">
        <v>293</v>
      </c>
      <c r="N41" s="6">
        <v>0.37</v>
      </c>
      <c r="O41" s="6">
        <v>0.37</v>
      </c>
      <c r="P41" s="6">
        <v>0.37</v>
      </c>
      <c r="Q41" s="6">
        <v>0.37</v>
      </c>
      <c r="R41" s="6">
        <v>0.37</v>
      </c>
    </row>
    <row r="42" spans="3:18">
      <c r="C42" t="s">
        <v>294</v>
      </c>
      <c r="N42" s="6">
        <v>0.4</v>
      </c>
      <c r="O42" s="6">
        <v>0.4</v>
      </c>
      <c r="P42" s="6">
        <v>0.4</v>
      </c>
      <c r="Q42" s="6">
        <v>0.4</v>
      </c>
      <c r="R42" s="6">
        <v>0.4</v>
      </c>
    </row>
    <row r="44" spans="3:18">
      <c r="C44" s="5" t="s">
        <v>301</v>
      </c>
      <c r="N44" s="4">
        <f>IF(Scenarios!$D$6="Base",N45,IF(Scenarios!$D$6="Upside",N46,N47))</f>
        <v>0.22</v>
      </c>
      <c r="O44" s="4">
        <f>IF(Scenarios!$D$6="Base",O45,IF(Scenarios!$D$6="Upside",O46,O47))</f>
        <v>0.22</v>
      </c>
      <c r="P44" s="4">
        <f>IF(Scenarios!$D$6="Base",P45,IF(Scenarios!$D$6="Upside",P46,P47))</f>
        <v>0.22</v>
      </c>
      <c r="Q44" s="4">
        <f>IF(Scenarios!$D$6="Base",Q45,IF(Scenarios!$D$6="Upside",Q46,Q47))</f>
        <v>0.22</v>
      </c>
      <c r="R44" s="4">
        <f>IF(Scenarios!$D$6="Base",R45,IF(Scenarios!$D$6="Upside",R46,R47))</f>
        <v>0.22</v>
      </c>
    </row>
    <row r="45" spans="3:18">
      <c r="C45" t="s">
        <v>287</v>
      </c>
      <c r="N45" s="6">
        <v>0.22</v>
      </c>
      <c r="O45" s="6">
        <v>0.22</v>
      </c>
      <c r="P45" s="6">
        <v>0.22</v>
      </c>
      <c r="Q45" s="6">
        <v>0.22</v>
      </c>
      <c r="R45" s="6">
        <v>0.22</v>
      </c>
    </row>
    <row r="46" spans="3:18">
      <c r="C46" t="s">
        <v>293</v>
      </c>
      <c r="N46" s="6">
        <v>0.21</v>
      </c>
      <c r="O46" s="6">
        <v>0.21</v>
      </c>
      <c r="P46" s="6">
        <v>0.21</v>
      </c>
      <c r="Q46" s="6">
        <v>0.21</v>
      </c>
      <c r="R46" s="6">
        <v>0.21</v>
      </c>
    </row>
    <row r="47" spans="3:18">
      <c r="C47" t="s">
        <v>294</v>
      </c>
      <c r="N47" s="6">
        <v>0.23</v>
      </c>
      <c r="O47" s="6">
        <v>0.23</v>
      </c>
      <c r="P47" s="6">
        <v>0.23</v>
      </c>
      <c r="Q47" s="6">
        <v>0.23</v>
      </c>
      <c r="R47" s="6">
        <v>0.23</v>
      </c>
    </row>
    <row r="49" spans="3:18">
      <c r="C49" s="5" t="s">
        <v>302</v>
      </c>
      <c r="N49" s="4">
        <f>IF(Scenarios!$D$6="Base",N50,IF(Scenarios!$D$6="Upside",N51,N52))</f>
        <v>0.115</v>
      </c>
      <c r="O49" s="4">
        <f>IF(Scenarios!$D$6="Base",O50,IF(Scenarios!$D$6="Upside",O51,O52))</f>
        <v>0.115</v>
      </c>
      <c r="P49" s="4">
        <f>IF(Scenarios!$D$6="Base",P50,IF(Scenarios!$D$6="Upside",P51,P52))</f>
        <v>0.115</v>
      </c>
      <c r="Q49" s="4">
        <f>IF(Scenarios!$D$6="Base",Q50,IF(Scenarios!$D$6="Upside",Q51,Q52))</f>
        <v>0.115</v>
      </c>
      <c r="R49" s="4">
        <f>IF(Scenarios!$D$6="Base",R50,IF(Scenarios!$D$6="Upside",R51,R52))</f>
        <v>0.115</v>
      </c>
    </row>
    <row r="50" spans="3:18">
      <c r="C50" t="s">
        <v>287</v>
      </c>
      <c r="N50" s="6">
        <v>0.115</v>
      </c>
      <c r="O50" s="6">
        <v>0.115</v>
      </c>
      <c r="P50" s="6">
        <v>0.115</v>
      </c>
      <c r="Q50" s="6">
        <v>0.115</v>
      </c>
      <c r="R50" s="6">
        <v>0.115</v>
      </c>
    </row>
    <row r="51" spans="3:18">
      <c r="C51" t="s">
        <v>293</v>
      </c>
      <c r="N51" s="6">
        <v>0.105</v>
      </c>
      <c r="O51" s="6">
        <v>0.105</v>
      </c>
      <c r="P51" s="6">
        <v>0.105</v>
      </c>
      <c r="Q51" s="6">
        <v>0.105</v>
      </c>
      <c r="R51" s="6">
        <v>0.105</v>
      </c>
    </row>
    <row r="52" spans="3:18">
      <c r="C52" t="s">
        <v>294</v>
      </c>
      <c r="N52" s="6">
        <v>0.125</v>
      </c>
      <c r="O52" s="6">
        <v>0.125</v>
      </c>
      <c r="P52" s="6">
        <v>0.125</v>
      </c>
      <c r="Q52" s="6">
        <v>0.125</v>
      </c>
      <c r="R52" s="6">
        <v>0.125</v>
      </c>
    </row>
    <row r="54" spans="3:18">
      <c r="C54" s="5" t="s">
        <v>303</v>
      </c>
      <c r="N54" s="4">
        <f>IF(Scenarios!$D$6="Base",N55,IF(Scenarios!$D$6="Upside",N56,N57))</f>
        <v>0.275</v>
      </c>
      <c r="O54" s="4">
        <f>IF(Scenarios!$D$6="Base",O55,IF(Scenarios!$D$6="Upside",O56,O57))</f>
        <v>0.275</v>
      </c>
      <c r="P54" s="4">
        <f>IF(Scenarios!$D$6="Base",P55,IF(Scenarios!$D$6="Upside",P56,P57))</f>
        <v>0.275</v>
      </c>
      <c r="Q54" s="4">
        <f>IF(Scenarios!$D$6="Base",Q55,IF(Scenarios!$D$6="Upside",Q56,Q57))</f>
        <v>0.275</v>
      </c>
      <c r="R54" s="4">
        <f>IF(Scenarios!$D$6="Base",R55,IF(Scenarios!$D$6="Upside",R56,R57))</f>
        <v>0.275</v>
      </c>
    </row>
    <row r="55" spans="3:18">
      <c r="C55" t="s">
        <v>287</v>
      </c>
      <c r="N55" s="6">
        <v>0.275</v>
      </c>
      <c r="O55" s="6">
        <v>0.275</v>
      </c>
      <c r="P55" s="6">
        <v>0.275</v>
      </c>
      <c r="Q55" s="6">
        <v>0.275</v>
      </c>
      <c r="R55" s="6">
        <v>0.275</v>
      </c>
    </row>
    <row r="56" spans="3:18">
      <c r="C56" t="s">
        <v>293</v>
      </c>
      <c r="N56" s="6">
        <v>0.265</v>
      </c>
      <c r="O56" s="6">
        <v>0.265</v>
      </c>
      <c r="P56" s="6">
        <v>0.265</v>
      </c>
      <c r="Q56" s="6">
        <v>0.265</v>
      </c>
      <c r="R56" s="6">
        <v>0.265</v>
      </c>
    </row>
    <row r="57" spans="3:18">
      <c r="C57" t="s">
        <v>294</v>
      </c>
      <c r="N57" s="6">
        <v>0.29</v>
      </c>
      <c r="O57" s="6">
        <v>0.29</v>
      </c>
      <c r="P57" s="6">
        <v>0.29</v>
      </c>
      <c r="Q57" s="6">
        <v>0.29</v>
      </c>
      <c r="R57" s="6">
        <v>0.29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C2:D10"/>
  <sheetViews>
    <sheetView showGridLines="0" workbookViewId="0"/>
  </sheetViews>
  <sheetFormatPr defaultRowHeight="15"/>
  <cols>
    <col min="3" max="3" width="87.7109375" customWidth="1"/>
    <col min="4" max="4" width="18.7109375" customWidth="1"/>
  </cols>
  <sheetData>
    <row r="2" spans="3:4">
      <c r="C2" s="1" t="s">
        <v>285</v>
      </c>
    </row>
    <row r="6" spans="3:4">
      <c r="C6" t="s">
        <v>286</v>
      </c>
      <c r="D6" s="7" t="s">
        <v>287</v>
      </c>
    </row>
    <row r="9" spans="3:4">
      <c r="C9" t="s">
        <v>288</v>
      </c>
    </row>
    <row r="10" spans="3:4">
      <c r="C10" t="s">
        <v>289</v>
      </c>
    </row>
  </sheetData>
  <dataValidations count="1">
    <dataValidation type="list" allowBlank="1" showInputMessage="1" showErrorMessage="1" sqref="D6">
      <formula1>"Base,Upside,Downside"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C2:R144"/>
  <sheetViews>
    <sheetView showGridLines="0" workbookViewId="0">
      <pane xSplit="7" ySplit="8" topLeftCell="H9" activePane="bottomRight" state="frozen"/>
      <selection pane="topRight" activeCell="H1" sqref="H1"/>
      <selection pane="bottomLeft" activeCell="A9" sqref="A9"/>
      <selection pane="bottomRight"/>
    </sheetView>
  </sheetViews>
  <sheetFormatPr defaultRowHeight="15"/>
  <cols>
    <col min="3" max="3" width="49.7109375" customWidth="1"/>
    <col min="4" max="6" width="3.7109375" customWidth="1"/>
    <col min="7" max="18" width="14.7109375" customWidth="1"/>
  </cols>
  <sheetData>
    <row r="2" spans="3:18">
      <c r="C2" s="1" t="s">
        <v>161</v>
      </c>
    </row>
    <row r="3" spans="3:18">
      <c r="C3" t="s">
        <v>162</v>
      </c>
    </row>
    <row r="4" spans="3:18">
      <c r="C4" t="str">
        <f>Scenarios!D6</f>
        <v>Base</v>
      </c>
    </row>
    <row r="7" spans="3:18">
      <c r="G7" s="2">
        <v>2019</v>
      </c>
      <c r="H7" s="2">
        <v>2020</v>
      </c>
      <c r="I7" s="2">
        <v>2021</v>
      </c>
      <c r="J7" s="2">
        <v>2022</v>
      </c>
      <c r="K7" s="2">
        <v>2023</v>
      </c>
      <c r="L7" s="2">
        <v>2024</v>
      </c>
      <c r="M7" s="2">
        <v>2025</v>
      </c>
      <c r="N7" s="2">
        <v>2026</v>
      </c>
      <c r="O7" s="2">
        <v>2027</v>
      </c>
      <c r="P7" s="2">
        <v>2028</v>
      </c>
      <c r="Q7" s="2">
        <v>2029</v>
      </c>
      <c r="R7" s="2">
        <v>2030</v>
      </c>
    </row>
    <row r="8" spans="3:18">
      <c r="G8" s="2" t="s">
        <v>163</v>
      </c>
      <c r="H8" s="2" t="s">
        <v>164</v>
      </c>
      <c r="I8" s="2" t="s">
        <v>164</v>
      </c>
      <c r="J8" s="2" t="s">
        <v>164</v>
      </c>
      <c r="K8" s="2" t="s">
        <v>164</v>
      </c>
      <c r="L8" s="2" t="s">
        <v>164</v>
      </c>
      <c r="M8" s="2" t="s">
        <v>164</v>
      </c>
      <c r="N8" s="2" t="s">
        <v>165</v>
      </c>
      <c r="O8" s="2" t="s">
        <v>165</v>
      </c>
      <c r="P8" s="2" t="s">
        <v>165</v>
      </c>
      <c r="Q8" s="2" t="s">
        <v>165</v>
      </c>
      <c r="R8" s="2" t="s">
        <v>165</v>
      </c>
    </row>
    <row r="10" spans="3:18">
      <c r="C10" s="5" t="s">
        <v>166</v>
      </c>
    </row>
    <row r="11" spans="3:18">
      <c r="C11" t="s">
        <v>167</v>
      </c>
      <c r="H11" s="8">
        <f>Sources!C73</f>
        <v>30762</v>
      </c>
      <c r="I11" s="8">
        <f>Sources!C179</f>
        <v>33180</v>
      </c>
      <c r="J11" s="8">
        <f>Sources!C285</f>
        <v>36648</v>
      </c>
      <c r="K11" s="8">
        <f>Sources!C391</f>
        <v>40983</v>
      </c>
      <c r="L11" s="8">
        <f>Sources!C497</f>
        <v>44377</v>
      </c>
      <c r="M11" s="8">
        <f>Sources!C605</f>
        <v>45594</v>
      </c>
    </row>
    <row r="12" spans="3:18">
      <c r="C12" t="s">
        <v>168</v>
      </c>
      <c r="H12" s="8">
        <f>Sources!C42</f>
        <v>1001</v>
      </c>
      <c r="I12" s="8">
        <f>Sources!C148</f>
        <v>1064</v>
      </c>
      <c r="J12" s="8">
        <f>Sources!C254</f>
        <v>1228</v>
      </c>
      <c r="K12" s="8">
        <f>Sources!C360</f>
        <v>1989</v>
      </c>
      <c r="L12" s="8">
        <f>Sources!C466</f>
        <v>2173</v>
      </c>
      <c r="M12" s="8">
        <f>Sources!C573</f>
        <v>2136</v>
      </c>
    </row>
    <row r="13" spans="3:18">
      <c r="C13" t="s">
        <v>169</v>
      </c>
      <c r="H13" s="3">
        <f>H11+H12</f>
        <v>31763</v>
      </c>
      <c r="I13" s="3">
        <f>I11+I12</f>
        <v>34244</v>
      </c>
      <c r="J13" s="3">
        <f>J11+J12</f>
        <v>37876</v>
      </c>
      <c r="K13" s="3">
        <f>K11+K12</f>
        <v>42972</v>
      </c>
      <c r="L13" s="3">
        <f>L11+L12</f>
        <v>46550</v>
      </c>
      <c r="M13" s="3">
        <f>M11+M12</f>
        <v>47730</v>
      </c>
      <c r="N13" s="3">
        <f>M13*(1+Assumptions!N9)</f>
        <v>49639.200000000004</v>
      </c>
      <c r="O13" s="3">
        <f>N13*(1+Assumptions!O9)</f>
        <v>51624.768000000004</v>
      </c>
      <c r="P13" s="3">
        <f>O13*(1+Assumptions!P9)</f>
        <v>53689.758720000005</v>
      </c>
      <c r="Q13" s="3">
        <f>P13*(1+Assumptions!Q9)</f>
        <v>55837.34906880001</v>
      </c>
      <c r="R13" s="3">
        <f>Q13*(1+Assumptions!R9)</f>
        <v>58070.84303155201</v>
      </c>
    </row>
    <row r="14" spans="3:18">
      <c r="C14" t="s">
        <v>170</v>
      </c>
      <c r="H14" s="8">
        <f>Sources!C53</f>
        <v>2031</v>
      </c>
      <c r="I14" s="8">
        <f>Sources!C159</f>
        <v>2285</v>
      </c>
      <c r="J14" s="8">
        <f>Sources!C265</f>
        <v>2462</v>
      </c>
      <c r="K14" s="8">
        <f>Sources!C371</f>
        <v>2771</v>
      </c>
      <c r="L14" s="8">
        <f>Sources!C477</f>
        <v>3194</v>
      </c>
      <c r="M14" s="8">
        <f>Sources!C585</f>
        <v>3343</v>
      </c>
      <c r="N14" s="3">
        <f>N13*Assumptions!N14</f>
        <v>3474.7440000000006</v>
      </c>
      <c r="O14" s="3">
        <f>O13*Assumptions!O14</f>
        <v>3613.7337600000005</v>
      </c>
      <c r="P14" s="3">
        <f>P13*Assumptions!P14</f>
        <v>3758.2831104000006</v>
      </c>
      <c r="Q14" s="3">
        <f>Q13*Assumptions!Q14</f>
        <v>3908.614434816001</v>
      </c>
      <c r="R14" s="3">
        <f>R13*Assumptions!R14</f>
        <v>4064.959012208641</v>
      </c>
    </row>
    <row r="15" spans="3:18">
      <c r="C15" t="s">
        <v>171</v>
      </c>
      <c r="H15" s="3">
        <f>H13-H14</f>
        <v>29732</v>
      </c>
      <c r="I15" s="3">
        <f>I13-I14</f>
        <v>31959</v>
      </c>
      <c r="J15" s="3">
        <f>J13-J14</f>
        <v>35414</v>
      </c>
      <c r="K15" s="3">
        <f>K13-K14</f>
        <v>40201</v>
      </c>
      <c r="L15" s="3">
        <f>L13-L14</f>
        <v>43356</v>
      </c>
      <c r="M15" s="3">
        <f>M13-M14</f>
        <v>44387</v>
      </c>
      <c r="N15" s="3">
        <f>N13-N14</f>
        <v>46164.456000000006</v>
      </c>
      <c r="O15" s="3">
        <f>O13-O14</f>
        <v>48011.03424</v>
      </c>
      <c r="P15" s="3">
        <f>P13-P14</f>
        <v>49931.475609600006</v>
      </c>
      <c r="Q15" s="3">
        <f>Q13-Q14</f>
        <v>51928.73463398401</v>
      </c>
      <c r="R15" s="3">
        <f>R13-R14</f>
        <v>54005.88401934337</v>
      </c>
    </row>
    <row r="16" spans="3:18">
      <c r="C16" t="s">
        <v>172</v>
      </c>
      <c r="G16" s="8">
        <f>Sources!C19</f>
        <v>14604</v>
      </c>
      <c r="H16" s="8">
        <f>Sources!C95</f>
        <v>15222</v>
      </c>
      <c r="I16" s="8">
        <f>Sources!C201</f>
        <v>16469</v>
      </c>
      <c r="J16" s="8">
        <f>Sources!C307</f>
        <v>18240</v>
      </c>
      <c r="K16" s="8">
        <f>Sources!C413</f>
        <v>20872</v>
      </c>
      <c r="L16" s="8">
        <f>Sources!C519</f>
        <v>22289</v>
      </c>
      <c r="M16" s="8">
        <f>Sources!C627</f>
        <v>22431</v>
      </c>
      <c r="N16" s="3">
        <f>N13*Assumptions!N19</f>
        <v>23330.424</v>
      </c>
      <c r="O16" s="3">
        <f>O13*Assumptions!O19</f>
        <v>24263.64096</v>
      </c>
      <c r="P16" s="3">
        <f>P13*Assumptions!P19</f>
        <v>25234.1865984</v>
      </c>
      <c r="Q16" s="3">
        <f>Q13*Assumptions!Q19</f>
        <v>26243.554062336003</v>
      </c>
      <c r="R16" s="3">
        <f>R13*Assumptions!R19</f>
        <v>27293.296224829443</v>
      </c>
    </row>
    <row r="17" spans="3:18">
      <c r="C17" t="s">
        <v>173</v>
      </c>
      <c r="G17" s="8">
        <f>Sources!C6</f>
        <v>689</v>
      </c>
      <c r="H17" s="8">
        <f>Sources!C52</f>
        <v>772</v>
      </c>
      <c r="I17" s="8">
        <f>Sources!C158</f>
        <v>902</v>
      </c>
      <c r="J17" s="8">
        <f>Sources!C264</f>
        <v>1024</v>
      </c>
      <c r="K17" s="8">
        <f>Sources!C370</f>
        <v>1150</v>
      </c>
      <c r="L17" s="8">
        <f>Sources!C476</f>
        <v>1202</v>
      </c>
      <c r="M17" s="8">
        <f>Sources!C584</f>
        <v>1283</v>
      </c>
      <c r="N17" s="3">
        <f>N14*Assumptions!N19</f>
        <v>1633.1296800000002</v>
      </c>
      <c r="O17" s="3">
        <f>O14*Assumptions!O19</f>
        <v>1698.4548672</v>
      </c>
      <c r="P17" s="3">
        <f>P14*Assumptions!P19</f>
        <v>1766.3930618880001</v>
      </c>
      <c r="Q17" s="3">
        <f>Q14*Assumptions!Q19</f>
        <v>1837.0487843635203</v>
      </c>
      <c r="R17" s="3">
        <f>R14*Assumptions!R19</f>
        <v>1910.5307357380611</v>
      </c>
    </row>
    <row r="18" spans="3:18">
      <c r="C18" t="s">
        <v>174</v>
      </c>
      <c r="G18" s="3">
        <f>G16-G17</f>
        <v>13915</v>
      </c>
      <c r="H18" s="3">
        <f>H16-H17</f>
        <v>14450</v>
      </c>
      <c r="I18" s="3">
        <f>I16-I17</f>
        <v>15567</v>
      </c>
      <c r="J18" s="3">
        <f>J16-J17</f>
        <v>17216</v>
      </c>
      <c r="K18" s="3">
        <f>K16-K17</f>
        <v>19722</v>
      </c>
      <c r="L18" s="3">
        <f>L16-L17</f>
        <v>21087</v>
      </c>
      <c r="M18" s="3">
        <f>M16-M17</f>
        <v>21148</v>
      </c>
      <c r="N18" s="3">
        <f>N16-N17</f>
        <v>21697.294319999997</v>
      </c>
      <c r="O18" s="3">
        <f>O16-O17</f>
        <v>22565.186092800002</v>
      </c>
      <c r="P18" s="3">
        <f>P16-P17</f>
        <v>23467.793536512</v>
      </c>
      <c r="Q18" s="3">
        <f>Q16-Q17</f>
        <v>24406.505277972483</v>
      </c>
      <c r="R18" s="3">
        <f>R16-R17</f>
        <v>25382.76548909138</v>
      </c>
    </row>
    <row r="19" spans="3:18">
      <c r="C19" t="s">
        <v>175</v>
      </c>
      <c r="M19" s="8">
        <f>Sources!C631</f>
        <v>514</v>
      </c>
    </row>
    <row r="20" spans="3:18">
      <c r="C20" t="s">
        <v>176</v>
      </c>
      <c r="H20" s="8">
        <f>Sources!C93</f>
        <v>30988</v>
      </c>
      <c r="I20" s="8">
        <f>Sources!C199</f>
        <v>33009</v>
      </c>
      <c r="J20" s="8">
        <f>Sources!C305</f>
        <v>36093</v>
      </c>
      <c r="K20" s="8">
        <f>Sources!C411</f>
        <v>40410</v>
      </c>
      <c r="L20" s="8">
        <f>Sources!C517</f>
        <v>45078</v>
      </c>
      <c r="M20" s="8">
        <f>Sources!C625</f>
        <v>47152</v>
      </c>
      <c r="N20" s="3">
        <f>N13+M16-N16</f>
        <v>48739.77600000001</v>
      </c>
      <c r="O20" s="3">
        <f>O13+N16-O16</f>
        <v>50691.551040000006</v>
      </c>
      <c r="P20" s="3">
        <f>P13+O16-P16</f>
        <v>52719.2130816</v>
      </c>
      <c r="Q20" s="3">
        <f>Q13+P16-Q16</f>
        <v>54827.981604864006</v>
      </c>
      <c r="R20" s="3">
        <f>R13+Q16-R16</f>
        <v>57021.100869058566</v>
      </c>
    </row>
    <row r="21" spans="3:18">
      <c r="C21" t="s">
        <v>177</v>
      </c>
      <c r="H21" s="8">
        <f>Sources!C51</f>
        <v>1944</v>
      </c>
      <c r="I21" s="8">
        <f>Sources!C157</f>
        <v>2154</v>
      </c>
      <c r="J21" s="8">
        <f>Sources!C263</f>
        <v>2330</v>
      </c>
      <c r="K21" s="8">
        <f>Sources!C369</f>
        <v>2649</v>
      </c>
      <c r="L21" s="8">
        <f>Sources!C475</f>
        <v>3137</v>
      </c>
      <c r="M21" s="8">
        <f>Sources!C583</f>
        <v>3238</v>
      </c>
      <c r="N21" s="3">
        <f>N14+M17-N17</f>
        <v>3124.6143200000006</v>
      </c>
      <c r="O21" s="3">
        <f>O14+N17-O17</f>
        <v>3548.408572800001</v>
      </c>
      <c r="P21" s="3">
        <f>P14+O17-P17</f>
        <v>3690.3449157120003</v>
      </c>
      <c r="Q21" s="3">
        <f>Q14+P17-Q17</f>
        <v>3837.958712340481</v>
      </c>
      <c r="R21" s="3">
        <f>R14+Q17-R17</f>
        <v>3991.4770608341</v>
      </c>
    </row>
    <row r="22" spans="3:18">
      <c r="C22" t="s">
        <v>178</v>
      </c>
      <c r="H22" s="3">
        <f>H20-H21</f>
        <v>29044</v>
      </c>
      <c r="I22" s="3">
        <f>I20-I21</f>
        <v>30855</v>
      </c>
      <c r="J22" s="3">
        <f>J20-J21</f>
        <v>33763</v>
      </c>
      <c r="K22" s="3">
        <f>K20-K21</f>
        <v>37761</v>
      </c>
      <c r="L22" s="3">
        <f>L20-L21</f>
        <v>41941</v>
      </c>
      <c r="M22" s="3">
        <f>M20-M21</f>
        <v>43914</v>
      </c>
      <c r="N22" s="3">
        <f>N20-N21</f>
        <v>45615.16168000001</v>
      </c>
      <c r="O22" s="3">
        <f>O20-O21</f>
        <v>47143.14246720001</v>
      </c>
      <c r="P22" s="3">
        <f>P20-P21</f>
        <v>49028.868165888</v>
      </c>
      <c r="Q22" s="3">
        <f>Q20-Q21</f>
        <v>50990.02289252353</v>
      </c>
      <c r="R22" s="3">
        <f>R20-R21</f>
        <v>53029.62380822447</v>
      </c>
    </row>
    <row r="23" spans="3:18">
      <c r="C23" t="s">
        <v>179</v>
      </c>
      <c r="H23" s="3">
        <f>H20-(H13+G16-H16)</f>
        <v>-157</v>
      </c>
      <c r="I23" s="3">
        <f>I20-(I13+H16-I16)</f>
        <v>12</v>
      </c>
      <c r="J23" s="3">
        <f>J20-(J13+I16-J16)</f>
        <v>-12</v>
      </c>
      <c r="K23" s="3">
        <f>K20-(K13+J16-K16)</f>
        <v>70</v>
      </c>
      <c r="L23" s="3">
        <f>L20-(L13+K16-L16)</f>
        <v>-55</v>
      </c>
      <c r="M23" s="3">
        <f>M20-(M13+L16-M16)</f>
        <v>-436</v>
      </c>
    </row>
    <row r="24" spans="3:18">
      <c r="C24" t="s">
        <v>180</v>
      </c>
      <c r="H24" s="3">
        <f>H21-(H14+G17-H17)</f>
        <v>-4</v>
      </c>
      <c r="I24" s="3">
        <f>I21-(I14+H17-I17)</f>
        <v>-1</v>
      </c>
      <c r="J24" s="3">
        <f>J21-(J14+I17-J17)</f>
        <v>-10</v>
      </c>
      <c r="K24" s="3">
        <f>K21-(K14+J17-K17)</f>
        <v>4</v>
      </c>
      <c r="L24" s="3">
        <f>L21-(L14+K17-L17)</f>
        <v>-5</v>
      </c>
      <c r="M24" s="3">
        <f>M21-(M14+L17-M17)</f>
        <v>-24</v>
      </c>
    </row>
    <row r="25" spans="3:18">
      <c r="C25" t="s">
        <v>181</v>
      </c>
      <c r="H25" s="3">
        <f>H23-H24</f>
        <v>-153</v>
      </c>
      <c r="I25" s="3">
        <f>I23-I24</f>
        <v>13</v>
      </c>
      <c r="J25" s="3">
        <f>J23-J24</f>
        <v>-2</v>
      </c>
      <c r="K25" s="3">
        <f>K23-K24</f>
        <v>66</v>
      </c>
      <c r="L25" s="3">
        <f>L23-L24</f>
        <v>-50</v>
      </c>
      <c r="M25" s="3">
        <f>M23-M24</f>
        <v>-412</v>
      </c>
    </row>
    <row r="28" spans="3:18">
      <c r="C28" s="5" t="s">
        <v>182</v>
      </c>
    </row>
    <row r="29" spans="3:18">
      <c r="C29" t="s">
        <v>183</v>
      </c>
      <c r="H29" s="8">
        <f>Sources!C64</f>
        <v>19285</v>
      </c>
      <c r="I29" s="8">
        <f>Sources!C170</f>
        <v>20698</v>
      </c>
      <c r="J29" s="8">
        <f>Sources!C276</f>
        <v>23308</v>
      </c>
      <c r="K29" s="8">
        <f>Sources!C382</f>
        <v>26159</v>
      </c>
      <c r="L29" s="8">
        <f>Sources!C488</f>
        <v>27508</v>
      </c>
      <c r="M29" s="8">
        <f>Sources!C596</f>
        <v>28051</v>
      </c>
      <c r="N29" s="3">
        <f>N22*(Assumptions!N24+Assumptions!N29)</f>
        <v>29193.703475200007</v>
      </c>
      <c r="O29" s="3">
        <f>O22*(Assumptions!O24+Assumptions!O29)</f>
        <v>30171.611179008003</v>
      </c>
      <c r="P29" s="3">
        <f>P22*(Assumptions!P24+Assumptions!P29)</f>
        <v>31378.47562616832</v>
      </c>
      <c r="Q29" s="3">
        <f>Q22*(Assumptions!Q24+Assumptions!Q29)</f>
        <v>32633.61465121506</v>
      </c>
      <c r="R29" s="3">
        <f>R22*(Assumptions!R24+Assumptions!R29)</f>
        <v>33938.95923726366</v>
      </c>
    </row>
    <row r="30" spans="3:18">
      <c r="C30" t="s">
        <v>184</v>
      </c>
      <c r="H30" s="8">
        <f>Sources!C125</f>
        <v>-267</v>
      </c>
      <c r="I30" s="8">
        <f>Sources!C231</f>
        <v>-484</v>
      </c>
      <c r="J30" s="8">
        <f>Sources!C337</f>
        <v>-537</v>
      </c>
      <c r="K30" s="8">
        <f>Sources!C443</f>
        <v>-38</v>
      </c>
      <c r="L30" s="8">
        <f>Sources!C549</f>
        <v>-548</v>
      </c>
      <c r="M30" s="8">
        <f>Sources!C662</f>
        <v>-939</v>
      </c>
      <c r="N30" s="3">
        <f>M37*Assumptions!N34</f>
        <v>-598.46</v>
      </c>
      <c r="O30" s="3">
        <f>N37*Assumptions!O34</f>
        <v>-641.8151615462401</v>
      </c>
      <c r="P30" s="3">
        <f>O37*Assumptions!P34</f>
        <v>-681.2616637004545</v>
      </c>
      <c r="Q30" s="3">
        <f>P37*Assumptions!Q34</f>
        <v>-719.1180299315937</v>
      </c>
      <c r="R30" s="3">
        <f>Q37*Assumptions!R34</f>
        <v>-756.0492938848605</v>
      </c>
    </row>
    <row r="31" spans="3:18">
      <c r="C31" t="s">
        <v>185</v>
      </c>
      <c r="H31" s="3">
        <f>H29+H30</f>
        <v>19018</v>
      </c>
      <c r="I31" s="3">
        <f>I29+I30</f>
        <v>20214</v>
      </c>
      <c r="J31" s="3">
        <f>J29+J30</f>
        <v>22771</v>
      </c>
      <c r="K31" s="3">
        <f>K29+K30</f>
        <v>26121</v>
      </c>
      <c r="L31" s="3">
        <f>L29+L30</f>
        <v>26960</v>
      </c>
      <c r="M31" s="3">
        <f>M29+M30</f>
        <v>27112</v>
      </c>
      <c r="N31" s="3">
        <f>N29+N30</f>
        <v>28595.243475200008</v>
      </c>
      <c r="O31" s="3">
        <f>O29+O30</f>
        <v>29529.796017461762</v>
      </c>
      <c r="P31" s="3">
        <f>P29+P30</f>
        <v>30697.213962467868</v>
      </c>
      <c r="Q31" s="3">
        <f>Q29+Q30</f>
        <v>31914.496621283466</v>
      </c>
      <c r="R31" s="3">
        <f>R29+R30</f>
        <v>33182.9099433788</v>
      </c>
    </row>
    <row r="32" spans="3:18">
      <c r="C32" t="s">
        <v>186</v>
      </c>
      <c r="H32" s="8">
        <f>Sources!C112</f>
        <v>7497</v>
      </c>
      <c r="I32" s="8">
        <f>Sources!C218</f>
        <v>8401</v>
      </c>
      <c r="J32" s="8">
        <f>Sources!C324</f>
        <v>9406</v>
      </c>
      <c r="K32" s="8">
        <f>Sources!C430</f>
        <v>10852</v>
      </c>
      <c r="L32" s="8">
        <f>Sources!C536</f>
        <v>10924</v>
      </c>
      <c r="M32" s="8">
        <f>Sources!C649</f>
        <v>10606</v>
      </c>
      <c r="N32" s="3">
        <f>N29*Assumptions!N39</f>
        <v>11093.607320576002</v>
      </c>
      <c r="O32" s="3">
        <f>O29*Assumptions!O39</f>
        <v>11465.212248023041</v>
      </c>
      <c r="P32" s="3">
        <f>P29*Assumptions!P39</f>
        <v>11923.820737943963</v>
      </c>
      <c r="Q32" s="3">
        <f>Q29*Assumptions!Q39</f>
        <v>12400.773567461723</v>
      </c>
      <c r="R32" s="3">
        <f>R29*Assumptions!R39</f>
        <v>12896.804510160191</v>
      </c>
    </row>
    <row r="33" spans="3:18">
      <c r="C33" t="s">
        <v>187</v>
      </c>
      <c r="H33" s="8">
        <f>Sources!C113</f>
        <v>9092</v>
      </c>
      <c r="I33" s="8">
        <f>Sources!C219</f>
        <v>9470</v>
      </c>
      <c r="J33" s="8">
        <f>Sources!C325</f>
        <v>10945</v>
      </c>
      <c r="K33" s="8">
        <f>Sources!C431</f>
        <v>12424</v>
      </c>
      <c r="L33" s="8">
        <f>Sources!C537</f>
        <v>13227</v>
      </c>
      <c r="M33" s="8">
        <f>Sources!C650</f>
        <v>13307</v>
      </c>
      <c r="N33" s="3">
        <f>M37*Assumptions!N44</f>
        <v>13166.12</v>
      </c>
      <c r="O33" s="3">
        <f>N37*Assumptions!O44</f>
        <v>14119.933554017283</v>
      </c>
      <c r="P33" s="3">
        <f>O37*Assumptions!P44</f>
        <v>14987.75660141</v>
      </c>
      <c r="Q33" s="3">
        <f>P37*Assumptions!Q44</f>
        <v>15820.59665849506</v>
      </c>
      <c r="R33" s="3">
        <f>Q37*Assumptions!R44</f>
        <v>16633.08446546693</v>
      </c>
    </row>
    <row r="34" spans="3:18">
      <c r="C34" t="s">
        <v>188</v>
      </c>
      <c r="H34" s="3">
        <f>H32+H33</f>
        <v>16589</v>
      </c>
      <c r="I34" s="3">
        <f>I32+I33</f>
        <v>17871</v>
      </c>
      <c r="J34" s="3">
        <f>J32+J33</f>
        <v>20351</v>
      </c>
      <c r="K34" s="3">
        <f>K32+K33</f>
        <v>23276</v>
      </c>
      <c r="L34" s="3">
        <f>L32+L33</f>
        <v>24151</v>
      </c>
      <c r="M34" s="3">
        <f>M32+M33</f>
        <v>23913</v>
      </c>
      <c r="N34" s="3">
        <f>N32+N33</f>
        <v>24259.727320576003</v>
      </c>
      <c r="O34" s="3">
        <f>O32+O33</f>
        <v>25585.145802040322</v>
      </c>
      <c r="P34" s="3">
        <f>P32+P33</f>
        <v>26911.577339353964</v>
      </c>
      <c r="Q34" s="3">
        <f>Q32+Q33</f>
        <v>28221.370225956784</v>
      </c>
      <c r="R34" s="3">
        <f>R32+R33</f>
        <v>29529.888975627124</v>
      </c>
    </row>
    <row r="35" spans="3:18">
      <c r="C35" t="s">
        <v>189</v>
      </c>
      <c r="H35" s="8">
        <f>Sources!C124</f>
        <v>74</v>
      </c>
      <c r="I35" s="8">
        <f>Sources!C230</f>
        <v>-12</v>
      </c>
      <c r="J35" s="8">
        <f>Sources!C336</f>
        <v>-255</v>
      </c>
      <c r="K35" s="8">
        <f>Sources!C442</f>
        <v>106</v>
      </c>
      <c r="L35" s="8">
        <f>Sources!C548</f>
        <v>-194</v>
      </c>
      <c r="M35" s="8">
        <f>Sources!C661</f>
        <v>228</v>
      </c>
    </row>
    <row r="36" spans="3:18">
      <c r="C36" t="s">
        <v>190</v>
      </c>
      <c r="H36" s="8">
        <f>Sources!C38</f>
        <v>53</v>
      </c>
      <c r="I36" s="8">
        <f>Sources!C144</f>
        <v>0</v>
      </c>
      <c r="J36" s="8">
        <f>Sources!C250</f>
        <v>0</v>
      </c>
      <c r="K36" s="8">
        <f>Sources!C356</f>
        <v>0</v>
      </c>
      <c r="L36" s="8">
        <f>Sources!C462</f>
        <v>0</v>
      </c>
      <c r="M36" s="8">
        <f>Sources!C568</f>
        <v>0</v>
      </c>
    </row>
    <row r="37" spans="3:18">
      <c r="C37" t="s">
        <v>191</v>
      </c>
      <c r="G37" s="8">
        <f>Sources!C21</f>
        <v>43801</v>
      </c>
      <c r="H37" s="8">
        <f>Sources!C102</f>
        <v>46357</v>
      </c>
      <c r="I37" s="8">
        <f>Sources!C208</f>
        <v>48688</v>
      </c>
      <c r="J37" s="8">
        <f>Sources!C314</f>
        <v>50853</v>
      </c>
      <c r="K37" s="8">
        <f>Sources!C420</f>
        <v>53804</v>
      </c>
      <c r="L37" s="8">
        <f>Sources!C526</f>
        <v>56419</v>
      </c>
      <c r="M37" s="8">
        <f>Sources!C638</f>
        <v>59846</v>
      </c>
      <c r="N37" s="3">
        <f>M37+N31-N34</f>
        <v>64181.51615462401</v>
      </c>
      <c r="O37" s="3">
        <f>N37+O31-O34</f>
        <v>68126.16637004545</v>
      </c>
      <c r="P37" s="3">
        <f>O37+P31-P34</f>
        <v>71911.80299315936</v>
      </c>
      <c r="Q37" s="3">
        <f>P37+Q31-Q34</f>
        <v>75604.92938848605</v>
      </c>
      <c r="R37" s="3">
        <f>Q37+R31-R34</f>
        <v>79257.95035623772</v>
      </c>
    </row>
    <row r="38" spans="3:18">
      <c r="C38" t="s">
        <v>192</v>
      </c>
      <c r="G38" s="8">
        <f>Sources!C36</f>
        <v>8035</v>
      </c>
      <c r="H38" s="8">
        <f>Sources!C142</f>
        <v>8153</v>
      </c>
      <c r="I38" s="8">
        <f>Sources!C248</f>
        <v>8209</v>
      </c>
      <c r="J38" s="8">
        <f>Sources!C354</f>
        <v>7790</v>
      </c>
      <c r="K38" s="8">
        <f>Sources!C460</f>
        <v>7817</v>
      </c>
      <c r="L38" s="8">
        <f>Sources!C566</f>
        <v>7669</v>
      </c>
      <c r="M38" s="8">
        <f>Sources!C679</f>
        <v>7797</v>
      </c>
      <c r="N38" s="3">
        <f>N37*Assumptions!N49/(1-Assumptions!N49)</f>
        <v>8339.971025742103</v>
      </c>
      <c r="O38" s="3">
        <f>O37*Assumptions!O49/(1-Assumptions!O49)</f>
        <v>8852.5526921528</v>
      </c>
      <c r="P38" s="3">
        <f>P37*Assumptions!P49/(1-Assumptions!P49)</f>
        <v>9344.471575382291</v>
      </c>
      <c r="Q38" s="3">
        <f>Q37*Assumptions!Q49/(1-Assumptions!Q49)</f>
        <v>9824.369355565985</v>
      </c>
      <c r="R38" s="3">
        <f>R37*Assumptions!R49/(1-Assumptions!R49)</f>
        <v>10299.055696008292</v>
      </c>
    </row>
    <row r="39" spans="3:18">
      <c r="C39" t="s">
        <v>193</v>
      </c>
      <c r="G39" s="3">
        <f>G37+G38</f>
        <v>51836</v>
      </c>
      <c r="H39" s="3">
        <f>H37+H38</f>
        <v>54510</v>
      </c>
      <c r="I39" s="3">
        <f>I37+I38</f>
        <v>56897</v>
      </c>
      <c r="J39" s="3">
        <f>J37+J38</f>
        <v>58643</v>
      </c>
      <c r="K39" s="3">
        <f>K37+K38</f>
        <v>61621</v>
      </c>
      <c r="L39" s="3">
        <f>L37+L38</f>
        <v>64088</v>
      </c>
      <c r="M39" s="3">
        <f>M37+M38</f>
        <v>67643</v>
      </c>
      <c r="N39" s="3">
        <f>N37+N38</f>
        <v>72521.48718036612</v>
      </c>
      <c r="O39" s="3">
        <f>O37+O38</f>
        <v>76978.71906219824</v>
      </c>
      <c r="P39" s="3">
        <f>P37+P38</f>
        <v>81256.27456854166</v>
      </c>
      <c r="Q39" s="3">
        <f>Q37+Q38</f>
        <v>85429.29874405204</v>
      </c>
      <c r="R39" s="3">
        <f>R37+R38</f>
        <v>89557.00605224601</v>
      </c>
    </row>
    <row r="40" spans="3:18">
      <c r="C40" t="s">
        <v>194</v>
      </c>
      <c r="H40" s="3">
        <f>G37+H36+H31-H34+H35-H37</f>
        <v>0</v>
      </c>
      <c r="I40" s="3">
        <f>H37+I36+I31-I34+I35-I37</f>
        <v>0</v>
      </c>
      <c r="J40" s="3">
        <f>I37+J36+J31-J34+J35-J37</f>
        <v>0</v>
      </c>
      <c r="K40" s="3">
        <f>J37+K36+K31-K34+K35-K37</f>
        <v>0</v>
      </c>
      <c r="L40" s="3">
        <f>K37+L36+L31-L34+L35-L37</f>
        <v>0</v>
      </c>
      <c r="M40" s="3">
        <f>L37+M36+M31-M34+M35-M37</f>
        <v>0</v>
      </c>
      <c r="N40" s="3">
        <f>M37+N31-N34-N37</f>
        <v>0.0</v>
      </c>
      <c r="O40" s="3">
        <f>N37+O31-O34-O37</f>
        <v>0.0</v>
      </c>
      <c r="P40" s="3">
        <f>O37+P31-P34-P37</f>
        <v>0.0</v>
      </c>
      <c r="Q40" s="3">
        <f>P37+Q31-Q34-Q37</f>
        <v>0.0</v>
      </c>
      <c r="R40" s="3">
        <f>Q37+R31-R34-R37</f>
        <v>0.0</v>
      </c>
    </row>
    <row r="43" spans="3:18">
      <c r="C43" s="5" t="s">
        <v>195</v>
      </c>
    </row>
    <row r="44" spans="3:18">
      <c r="C44" t="s">
        <v>196</v>
      </c>
      <c r="G44" s="8">
        <f>Sources!C34</f>
        <v>8235</v>
      </c>
      <c r="H44" s="8">
        <f>Sources!C139</f>
        <v>8350</v>
      </c>
      <c r="I44" s="8">
        <f>Sources!C245</f>
        <v>8452</v>
      </c>
      <c r="J44" s="8">
        <f>Sources!C351</f>
        <v>8063</v>
      </c>
      <c r="K44" s="8">
        <f>Sources!C457</f>
        <v>8143</v>
      </c>
      <c r="L44" s="8">
        <f>Sources!C563</f>
        <v>8000</v>
      </c>
      <c r="M44" s="8">
        <f>Sources!C676</f>
        <v>7886</v>
      </c>
    </row>
    <row r="45" spans="3:18">
      <c r="C45" t="s">
        <v>197</v>
      </c>
      <c r="H45" s="3">
        <f>H44-H38</f>
        <v>197</v>
      </c>
      <c r="I45" s="3">
        <f>I44-I38</f>
        <v>243</v>
      </c>
      <c r="J45" s="3">
        <f>J44-J38</f>
        <v>273</v>
      </c>
      <c r="K45" s="3">
        <f>K44-K38</f>
        <v>326</v>
      </c>
      <c r="L45" s="3">
        <f>L44-L38</f>
        <v>331</v>
      </c>
      <c r="M45" s="3">
        <f>M44-M38</f>
        <v>89</v>
      </c>
    </row>
    <row r="46" spans="3:18">
      <c r="C46" t="s">
        <v>198</v>
      </c>
      <c r="M46" s="8">
        <f>Sources!C629</f>
        <v>285</v>
      </c>
    </row>
    <row r="49" spans="3:18">
      <c r="C49" s="5" t="s">
        <v>199</v>
      </c>
    </row>
    <row r="50" spans="3:18">
      <c r="C50" t="s">
        <v>200</v>
      </c>
      <c r="G50" s="8">
        <f>Sources!C10</f>
        <v>2273</v>
      </c>
      <c r="H50" s="8">
        <f>Sources!C65</f>
        <v>2358</v>
      </c>
      <c r="I50" s="8">
        <f>Sources!C171</f>
        <v>2542</v>
      </c>
      <c r="J50" s="8">
        <f>Sources!C277</f>
        <v>2836</v>
      </c>
      <c r="K50" s="8">
        <f>Sources!C383</f>
        <v>3306</v>
      </c>
      <c r="L50" s="8">
        <f>Sources!C489</f>
        <v>3494</v>
      </c>
      <c r="M50" s="8">
        <f>Sources!C597</f>
        <v>3518</v>
      </c>
    </row>
    <row r="51" spans="3:18">
      <c r="C51" t="s">
        <v>201</v>
      </c>
      <c r="H51" s="8">
        <f>Sources!C67</f>
        <v>4854</v>
      </c>
      <c r="I51" s="8">
        <f>Sources!C173</f>
        <v>5227</v>
      </c>
      <c r="J51" s="8">
        <f>Sources!C279</f>
        <v>5824</v>
      </c>
      <c r="K51" s="8">
        <f>Sources!C385</f>
        <v>6689</v>
      </c>
      <c r="L51" s="8">
        <f>Sources!C491</f>
        <v>7173</v>
      </c>
      <c r="M51" s="8">
        <f>Sources!C599</f>
        <v>7373</v>
      </c>
    </row>
    <row r="52" spans="3:18">
      <c r="C52" t="s">
        <v>202</v>
      </c>
      <c r="H52" s="8">
        <f>Sources!C66</f>
        <v>4773</v>
      </c>
      <c r="I52" s="8">
        <f>Sources!C172</f>
        <v>5043</v>
      </c>
      <c r="J52" s="8">
        <f>Sources!C278</f>
        <v>5515</v>
      </c>
      <c r="K52" s="8">
        <f>Sources!C384</f>
        <v>6226</v>
      </c>
      <c r="L52" s="8">
        <f>Sources!C490</f>
        <v>6973</v>
      </c>
      <c r="M52" s="8">
        <f>Sources!C598</f>
        <v>7266</v>
      </c>
    </row>
    <row r="53" spans="3:18">
      <c r="C53" t="s">
        <v>203</v>
      </c>
      <c r="H53" s="3">
        <f>H50-(G50+H51-H52)</f>
        <v>4</v>
      </c>
      <c r="I53" s="3">
        <f>I50-(H50+I51-I52)</f>
        <v>0</v>
      </c>
      <c r="J53" s="3">
        <f>J50-(I50+J51-J52)</f>
        <v>-15</v>
      </c>
      <c r="K53" s="3">
        <f>K50-(J50+K51-K52)</f>
        <v>7</v>
      </c>
      <c r="L53" s="3">
        <f>L50-(K50+L51-L52)</f>
        <v>-12</v>
      </c>
      <c r="M53" s="3">
        <f>M50-(L50+M51-M52)</f>
        <v>-83</v>
      </c>
    </row>
    <row r="54" spans="3:18">
      <c r="C54" t="s">
        <v>204</v>
      </c>
      <c r="H54" s="8">
        <f>Sources!C91</f>
        <v>4509</v>
      </c>
      <c r="I54" s="8">
        <f>Sources!C197</f>
        <v>4677</v>
      </c>
      <c r="J54" s="8">
        <f>Sources!C303</f>
        <v>4810</v>
      </c>
      <c r="K54" s="8">
        <f>Sources!C409</f>
        <v>5176</v>
      </c>
      <c r="L54" s="8">
        <f>Sources!C515</f>
        <v>5819</v>
      </c>
      <c r="M54" s="8">
        <f>Sources!C623</f>
        <v>6120</v>
      </c>
    </row>
    <row r="55" spans="3:18">
      <c r="C55" t="s">
        <v>205</v>
      </c>
      <c r="H55" s="8">
        <f>Sources!C57</f>
        <v>19123</v>
      </c>
      <c r="I55" s="8">
        <f>Sources!C163</f>
        <v>20298</v>
      </c>
      <c r="J55" s="8">
        <f>Sources!C269</f>
        <v>22854</v>
      </c>
      <c r="K55" s="8">
        <f>Sources!C375</f>
        <v>26215</v>
      </c>
      <c r="L55" s="8">
        <f>Sources!C481</f>
        <v>27059</v>
      </c>
      <c r="M55" s="8">
        <f>Sources!C589</f>
        <v>27221</v>
      </c>
    </row>
    <row r="56" spans="3:18">
      <c r="C56" t="s">
        <v>206</v>
      </c>
      <c r="N56" s="3">
        <f>N22*Assumptions!N54</f>
        <v>12544.169462000003</v>
      </c>
      <c r="O56" s="3">
        <f>O22*Assumptions!O54</f>
        <v>12964.364178480002</v>
      </c>
      <c r="P56" s="3">
        <f>P22*Assumptions!P54</f>
        <v>13482.938745619202</v>
      </c>
      <c r="Q56" s="3">
        <f>Q22*Assumptions!Q54</f>
        <v>14022.25629544397</v>
      </c>
      <c r="R56" s="3">
        <f>R22*Assumptions!R54</f>
        <v>14583.14654726173</v>
      </c>
    </row>
    <row r="59" spans="3:18">
      <c r="C59" s="5" t="s">
        <v>207</v>
      </c>
    </row>
    <row r="60" spans="3:18">
      <c r="C60" t="s">
        <v>208</v>
      </c>
      <c r="G60" s="8">
        <f>Sources!C16</f>
        <v>68134</v>
      </c>
      <c r="H60" s="8">
        <f>Sources!C87</f>
        <v>74003</v>
      </c>
      <c r="I60" s="8">
        <f>Sources!C193</f>
        <v>77810</v>
      </c>
      <c r="J60" s="8">
        <f>Sources!C299</f>
        <v>71160</v>
      </c>
      <c r="K60" s="8">
        <f>Sources!C405</f>
        <v>77807</v>
      </c>
      <c r="L60" s="8">
        <f>Sources!C511</f>
        <v>83666</v>
      </c>
      <c r="M60" s="8">
        <f>Sources!C619</f>
        <v>89833</v>
      </c>
    </row>
    <row r="61" spans="3:18">
      <c r="C61" t="s">
        <v>209</v>
      </c>
      <c r="G61" s="8">
        <f>Sources!C14</f>
        <v>425</v>
      </c>
      <c r="H61" s="8">
        <f>Sources!C82</f>
        <v>484</v>
      </c>
      <c r="I61" s="8">
        <f>Sources!C188</f>
        <v>893</v>
      </c>
      <c r="J61" s="8">
        <f>Sources!C294</f>
        <v>807</v>
      </c>
      <c r="K61" s="8">
        <f>Sources!C400</f>
        <v>608</v>
      </c>
      <c r="L61" s="8">
        <f>Sources!C506</f>
        <v>687</v>
      </c>
      <c r="M61" s="8">
        <f>Sources!C614</f>
        <v>618</v>
      </c>
    </row>
    <row r="62" spans="3:18">
      <c r="C62" t="s">
        <v>210</v>
      </c>
      <c r="G62" s="8">
        <f>Sources!C27</f>
        <v>963</v>
      </c>
      <c r="H62" s="8">
        <f>Sources!C116</f>
        <v>1026</v>
      </c>
      <c r="I62" s="8">
        <f>Sources!C222</f>
        <v>979</v>
      </c>
      <c r="J62" s="8">
        <f>Sources!C328</f>
        <v>952</v>
      </c>
      <c r="K62" s="8">
        <f>Sources!C434</f>
        <v>959</v>
      </c>
      <c r="L62" s="8">
        <f>Sources!C540</f>
        <v>902</v>
      </c>
      <c r="M62" s="8">
        <f>Sources!C653</f>
        <v>900</v>
      </c>
    </row>
    <row r="63" spans="3:18">
      <c r="C63" t="s">
        <v>211</v>
      </c>
      <c r="G63" s="8">
        <f>Sources!C30</f>
        <v>4943</v>
      </c>
      <c r="H63" s="8">
        <f>Sources!C130</f>
        <v>5511</v>
      </c>
      <c r="I63" s="8">
        <f>Sources!C236</f>
        <v>3836</v>
      </c>
      <c r="J63" s="8">
        <f>Sources!C342</f>
        <v>3470</v>
      </c>
      <c r="K63" s="8">
        <f>Sources!C448</f>
        <v>5137</v>
      </c>
      <c r="L63" s="8">
        <f>Sources!C554</f>
        <v>4766</v>
      </c>
      <c r="M63" s="8">
        <f>Sources!C667</f>
        <v>5716</v>
      </c>
    </row>
    <row r="64" spans="3:18">
      <c r="C64" t="s">
        <v>212</v>
      </c>
      <c r="G64" s="8">
        <f>Sources!C24</f>
        <v>3419</v>
      </c>
      <c r="H64" s="8">
        <f>Sources!C109</f>
        <v>3399</v>
      </c>
      <c r="I64" s="8">
        <f>Sources!C215</f>
        <v>3857</v>
      </c>
      <c r="J64" s="8">
        <f>Sources!C321</f>
        <v>4065</v>
      </c>
      <c r="K64" s="8">
        <f>Sources!C427</f>
        <v>4299</v>
      </c>
      <c r="L64" s="8">
        <f>Sources!C533</f>
        <v>4202</v>
      </c>
      <c r="M64" s="8">
        <f>Sources!C646</f>
        <v>4115</v>
      </c>
    </row>
    <row r="65" spans="3:13">
      <c r="C65" t="s">
        <v>213</v>
      </c>
      <c r="G65" s="3">
        <f>SUM(G60,G61,G62,G63,G64)</f>
        <v>77884</v>
      </c>
      <c r="H65" s="3">
        <f>SUM(H60,H61,H62,H63,H64)</f>
        <v>84423</v>
      </c>
      <c r="I65" s="3">
        <f>SUM(I60,I61,I62,I63,I64)</f>
        <v>87375</v>
      </c>
      <c r="J65" s="3">
        <f>SUM(J60,J61,J62,J63,J64)</f>
        <v>80454</v>
      </c>
      <c r="K65" s="3">
        <f>SUM(K60,K61,K62,K63,K64)</f>
        <v>88810</v>
      </c>
      <c r="L65" s="3">
        <f>SUM(L60,L61,L62,L63,L64)</f>
        <v>94223</v>
      </c>
      <c r="M65" s="3">
        <f>SUM(M60,M61,M62,M63,M64)</f>
        <v>101182</v>
      </c>
    </row>
    <row r="66" spans="3:13">
      <c r="C66" t="s">
        <v>214</v>
      </c>
      <c r="H66" s="3">
        <f>SUM(Sources!C89,Sources!C83,Sources!C117,Sources!C107)</f>
        <v>14785</v>
      </c>
      <c r="I66" s="3">
        <f>SUM(Sources!C195,Sources!C189,Sources!C223,Sources!C213)</f>
        <v>19108</v>
      </c>
      <c r="J66" s="3">
        <f>SUM(Sources!C301,Sources!C295,Sources!C329,Sources!C319)</f>
        <v>16659</v>
      </c>
      <c r="K66" s="3">
        <f>SUM(Sources!C407,Sources!C401,Sources!C435,Sources!C425)</f>
        <v>16357</v>
      </c>
      <c r="L66" s="3">
        <f>SUM(Sources!C513,Sources!C507,Sources!C541,Sources!C531)</f>
        <v>17700</v>
      </c>
      <c r="M66" s="3">
        <f>SUM(Sources!C621,Sources!C615,Sources!C654,Sources!C644)</f>
        <v>19291</v>
      </c>
    </row>
    <row r="67" spans="3:13">
      <c r="C67" t="s">
        <v>215</v>
      </c>
      <c r="H67" s="3">
        <f>SUM(Sources!C88,Sources!C90,Sources!C84,Sources!C118,Sources!C108)</f>
        <v>10836</v>
      </c>
      <c r="I67" s="3">
        <f>SUM(Sources!C194,Sources!C196,Sources!C190,Sources!C224,Sources!C214)</f>
        <v>12577</v>
      </c>
      <c r="J67" s="3">
        <f>SUM(Sources!C300,Sources!C302,Sources!C296,Sources!C330,Sources!C320)</f>
        <v>12944</v>
      </c>
      <c r="K67" s="3">
        <f>SUM(Sources!C406,Sources!C408,Sources!C402,Sources!C436,Sources!C426)</f>
        <v>11745</v>
      </c>
      <c r="L67" s="3">
        <f>SUM(Sources!C512,Sources!C514,Sources!C508,Sources!C542,Sources!C532)</f>
        <v>10800</v>
      </c>
      <c r="M67" s="3">
        <f>SUM(Sources!C620,Sources!C622,Sources!C616,Sources!C655,Sources!C645)</f>
        <v>12973</v>
      </c>
    </row>
    <row r="68" spans="3:13">
      <c r="C68" t="s">
        <v>216</v>
      </c>
      <c r="H68" s="8">
        <f>Sources!C131</f>
        <v>-566</v>
      </c>
      <c r="I68" s="8">
        <f>Sources!C237</f>
        <v>1671</v>
      </c>
      <c r="J68" s="8">
        <f>Sources!C343</f>
        <v>355</v>
      </c>
      <c r="K68" s="8">
        <f>Sources!C449</f>
        <v>-1664</v>
      </c>
      <c r="L68" s="8">
        <f>Sources!C555</f>
        <v>370</v>
      </c>
      <c r="M68" s="8">
        <f>Sources!C668</f>
        <v>-945</v>
      </c>
    </row>
    <row r="69" spans="3:13">
      <c r="C69" t="s">
        <v>217</v>
      </c>
      <c r="H69" s="3">
        <f>H65-G65-(H66-H67-H68)</f>
        <v>2024</v>
      </c>
      <c r="I69" s="3">
        <f>I65-H65-(I66-I67-I68)</f>
        <v>-1908</v>
      </c>
      <c r="J69" s="3">
        <f>J65-I65-(J66-J67-J68)</f>
        <v>-10281</v>
      </c>
      <c r="K69" s="3">
        <f>K65-J65-(K66-K67-K68)</f>
        <v>2080</v>
      </c>
      <c r="L69" s="3">
        <f>L65-K65-(L66-L67-L68)</f>
        <v>-1117</v>
      </c>
      <c r="M69" s="3">
        <f>M65-L65-(M66-M67-M68)</f>
        <v>-304</v>
      </c>
    </row>
    <row r="70" spans="3:13">
      <c r="C70" t="s">
        <v>218</v>
      </c>
      <c r="H70" s="8">
        <f>Sources!C99</f>
        <v>2227</v>
      </c>
      <c r="I70" s="8">
        <f>Sources!C205</f>
        <v>3033</v>
      </c>
      <c r="J70" s="8">
        <f>Sources!C311</f>
        <v>2562</v>
      </c>
      <c r="K70" s="8">
        <f>Sources!C417</f>
        <v>2922</v>
      </c>
      <c r="L70" s="8">
        <f>Sources!C523</f>
        <v>3590</v>
      </c>
      <c r="M70" s="8">
        <f>Sources!C634</f>
        <v>3959</v>
      </c>
    </row>
    <row r="71" spans="3:13">
      <c r="C71" t="s">
        <v>219</v>
      </c>
      <c r="H71" s="3">
        <f>(H65+G65)/2</f>
        <v>81153.5</v>
      </c>
      <c r="I71" s="3">
        <f>(I65+H65)/2</f>
        <v>85899.0</v>
      </c>
      <c r="J71" s="3">
        <f>(J65+I65)/2</f>
        <v>83914.5</v>
      </c>
      <c r="K71" s="3">
        <f>(K65+J65)/2</f>
        <v>84632.0</v>
      </c>
      <c r="L71" s="3">
        <f>(L65+K65)/2</f>
        <v>91516.5</v>
      </c>
      <c r="M71" s="3">
        <f>(M65+L65)/2</f>
        <v>97702.5</v>
      </c>
    </row>
    <row r="72" spans="3:13">
      <c r="C72" t="s">
        <v>220</v>
      </c>
      <c r="H72" s="4">
        <f>H70/H71</f>
        <v>0.0274418232115682</v>
      </c>
      <c r="I72" s="4">
        <f>I70/I71</f>
        <v>0.03530890930045751</v>
      </c>
      <c r="J72" s="4">
        <f>J70/J71</f>
        <v>0.030531076274064674</v>
      </c>
      <c r="K72" s="4">
        <f>K70/K71</f>
        <v>0.03452594763210133</v>
      </c>
      <c r="L72" s="4">
        <f>L70/L71</f>
        <v>0.03922789879420651</v>
      </c>
      <c r="M72" s="4">
        <f>M70/M71</f>
        <v>0.040520969268954224</v>
      </c>
    </row>
    <row r="75" spans="3:13">
      <c r="C75" s="5" t="s">
        <v>221</v>
      </c>
    </row>
    <row r="76" spans="3:13">
      <c r="C76" t="s">
        <v>222</v>
      </c>
      <c r="H76" s="3">
        <f>G86</f>
        <v>25943</v>
      </c>
      <c r="I76" s="3">
        <f>H86</f>
        <v>29201</v>
      </c>
      <c r="J76" s="3">
        <f>I86</f>
        <v>28887</v>
      </c>
      <c r="K76" s="3">
        <f>J86</f>
        <v>21560</v>
      </c>
      <c r="L76" s="3">
        <f>K86</f>
        <v>24921</v>
      </c>
      <c r="M76" s="3">
        <f>L86</f>
        <v>27864</v>
      </c>
    </row>
    <row r="77" spans="3:13">
      <c r="C77" t="s">
        <v>223</v>
      </c>
      <c r="H77" s="8">
        <f>Sources!C101</f>
        <v>2697</v>
      </c>
      <c r="I77" s="8">
        <f>Sources!C207</f>
        <v>3662</v>
      </c>
      <c r="J77" s="8">
        <f>Sources!C313</f>
        <v>2842</v>
      </c>
      <c r="K77" s="8">
        <f>Sources!C419</f>
        <v>2991</v>
      </c>
      <c r="L77" s="8">
        <f>Sources!C525</f>
        <v>4999</v>
      </c>
      <c r="M77" s="8">
        <f>Sources!C637</f>
        <v>6288</v>
      </c>
    </row>
    <row r="78" spans="3:13">
      <c r="C78" t="s">
        <v>224</v>
      </c>
      <c r="H78" s="8">
        <f>Sources!C138</f>
        <v>1862</v>
      </c>
      <c r="I78" s="8">
        <f>Sources!C244</f>
        <v>-1309</v>
      </c>
      <c r="J78" s="8">
        <f>Sources!C350</f>
        <v>-7638</v>
      </c>
      <c r="K78" s="8">
        <f>Sources!C456</f>
        <v>1974</v>
      </c>
      <c r="L78" s="8">
        <f>Sources!C562</f>
        <v>-496</v>
      </c>
      <c r="M78" s="8">
        <f>Sources!C675</f>
        <v>2467</v>
      </c>
    </row>
    <row r="79" spans="3:13">
      <c r="C79" t="s">
        <v>225</v>
      </c>
      <c r="H79" s="8">
        <f>Sources!C77</f>
        <v>123</v>
      </c>
      <c r="I79" s="8">
        <f>Sources!C183</f>
        <v>247</v>
      </c>
      <c r="J79" s="8">
        <f>Sources!C289</f>
        <v>227</v>
      </c>
      <c r="K79" s="8">
        <f>Sources!C395</f>
        <v>125</v>
      </c>
      <c r="L79" s="8">
        <f>Sources!C501</f>
        <v>286</v>
      </c>
      <c r="M79" s="8">
        <f>Sources!C609</f>
        <v>202</v>
      </c>
    </row>
    <row r="80" spans="3:13">
      <c r="C80" t="s">
        <v>226</v>
      </c>
      <c r="H80" s="8">
        <f>Sources!C132</f>
        <v>151</v>
      </c>
      <c r="I80" s="8">
        <f>Sources!C238</f>
        <v>164</v>
      </c>
      <c r="J80" s="8">
        <f>Sources!C344</f>
        <v>184</v>
      </c>
      <c r="K80" s="8">
        <f>Sources!C450</f>
        <v>216</v>
      </c>
      <c r="L80" s="8">
        <f>Sources!C556</f>
        <v>260</v>
      </c>
      <c r="M80" s="8">
        <f>Sources!C669</f>
        <v>256</v>
      </c>
    </row>
    <row r="81" spans="3:13">
      <c r="C81" t="s">
        <v>227</v>
      </c>
      <c r="H81" s="8">
        <f>Sources!C128</f>
        <v>4</v>
      </c>
      <c r="I81" s="8">
        <f>Sources!C234</f>
        <v>-2</v>
      </c>
      <c r="J81" s="8">
        <f>Sources!C340</f>
        <v>-1</v>
      </c>
      <c r="K81" s="8">
        <f>Sources!C446</f>
        <v>-1</v>
      </c>
      <c r="L81" s="8">
        <f>Sources!C552</f>
        <v>2</v>
      </c>
      <c r="M81" s="8">
        <f>Sources!C665</f>
        <v>0</v>
      </c>
    </row>
    <row r="82" spans="3:13">
      <c r="C82" t="s">
        <v>228</v>
      </c>
      <c r="H82" s="8">
        <f>Sources!C39</f>
        <v>-43</v>
      </c>
      <c r="I82" s="8">
        <f>Sources!C145</f>
        <v>0</v>
      </c>
      <c r="J82" s="8">
        <f>Sources!C251</f>
        <v>0</v>
      </c>
      <c r="K82" s="8">
        <f>Sources!C357</f>
        <v>0</v>
      </c>
      <c r="L82" s="8">
        <f>Sources!C463</f>
        <v>0</v>
      </c>
      <c r="M82" s="8">
        <f>Sources!C569</f>
        <v>0</v>
      </c>
    </row>
    <row r="83" spans="3:13">
      <c r="C83" t="s">
        <v>229</v>
      </c>
      <c r="H83" s="8">
        <f>Sources!C80</f>
        <v>864</v>
      </c>
      <c r="I83" s="8">
        <f>Sources!C186</f>
        <v>876</v>
      </c>
      <c r="J83" s="8">
        <f>Sources!C292</f>
        <v>880</v>
      </c>
      <c r="K83" s="8">
        <f>Sources!C398</f>
        <v>915</v>
      </c>
      <c r="L83" s="8">
        <f>Sources!C504</f>
        <v>962</v>
      </c>
      <c r="M83" s="8">
        <f>Sources!C612</f>
        <v>987</v>
      </c>
    </row>
    <row r="84" spans="3:13">
      <c r="C84" t="s">
        <v>230</v>
      </c>
      <c r="H84" s="8">
        <f>Sources!C79</f>
        <v>625</v>
      </c>
      <c r="I84" s="8">
        <f>Sources!C185</f>
        <v>2156</v>
      </c>
      <c r="J84" s="8">
        <f>Sources!C291</f>
        <v>2000</v>
      </c>
      <c r="K84" s="8">
        <f>Sources!C397</f>
        <v>965</v>
      </c>
      <c r="L84" s="8">
        <f>Sources!C503</f>
        <v>1000</v>
      </c>
      <c r="M84" s="8">
        <f>Sources!C611</f>
        <v>3025</v>
      </c>
    </row>
    <row r="85" spans="3:13">
      <c r="C85" t="s">
        <v>231</v>
      </c>
      <c r="H85" s="8">
        <f>Sources!C81</f>
        <v>47</v>
      </c>
      <c r="I85" s="8">
        <f>Sources!C187</f>
        <v>44</v>
      </c>
      <c r="J85" s="8">
        <f>Sources!C293</f>
        <v>61</v>
      </c>
      <c r="K85" s="8">
        <f>Sources!C399</f>
        <v>64</v>
      </c>
      <c r="L85" s="8">
        <f>Sources!C505</f>
        <v>146</v>
      </c>
      <c r="M85" s="8">
        <f>Sources!C613</f>
        <v>171</v>
      </c>
    </row>
    <row r="86" spans="3:13">
      <c r="C86" t="s">
        <v>232</v>
      </c>
      <c r="G86" s="8">
        <f>Sources!C13</f>
        <v>25943</v>
      </c>
      <c r="H86" s="8">
        <f>Sources!C59</f>
        <v>29201</v>
      </c>
      <c r="I86" s="8">
        <f>Sources!C165</f>
        <v>28887</v>
      </c>
      <c r="J86" s="8">
        <f>Sources!C271</f>
        <v>21560</v>
      </c>
      <c r="K86" s="8">
        <f>Sources!C377</f>
        <v>24921</v>
      </c>
      <c r="L86" s="8">
        <f>Sources!C483</f>
        <v>27864</v>
      </c>
      <c r="M86" s="8">
        <f>Sources!C591</f>
        <v>32894</v>
      </c>
    </row>
    <row r="87" spans="3:13">
      <c r="C87" t="s">
        <v>233</v>
      </c>
      <c r="H87" s="3">
        <f>H76+SUM(H77,H78,H79,H80,H81,H82)-SUM(H83,H84,H85)-H86</f>
        <v>0</v>
      </c>
      <c r="I87" s="3">
        <f>I76+SUM(I77,I78,I79,I80,I81,I82)-SUM(I83,I84,I85)-I86</f>
        <v>0</v>
      </c>
      <c r="J87" s="3">
        <f>J76+SUM(J77,J78,J79,J80,J81,J82)-SUM(J83,J84,J85)-J86</f>
        <v>0</v>
      </c>
      <c r="K87" s="3">
        <f>K76+SUM(K77,K78,K79,K80,K81,K82)-SUM(K83,K84,K85)-K86</f>
        <v>0</v>
      </c>
      <c r="L87" s="3">
        <f>L76+SUM(L77,L78,L79,L80,L81,L82)-SUM(L83,L84,L85)-L86</f>
        <v>0</v>
      </c>
      <c r="M87" s="3">
        <f>M76+SUM(M77,M78,M79,M80,M81,M82)-SUM(M83,M84,M85)-M86</f>
        <v>0</v>
      </c>
    </row>
    <row r="88" spans="3:13">
      <c r="C88" t="s">
        <v>234</v>
      </c>
      <c r="H88" s="8">
        <f>Sources!C60</f>
        <v>252.4</v>
      </c>
      <c r="I88" s="8">
        <f>Sources!C166</f>
        <v>241.2</v>
      </c>
      <c r="J88" s="8">
        <f>Sources!C272</f>
        <v>232.1</v>
      </c>
      <c r="K88" s="8">
        <f>Sources!C378</f>
        <v>228.2</v>
      </c>
      <c r="L88" s="8">
        <f>Sources!C484</f>
        <v>226.6</v>
      </c>
      <c r="M88" s="8">
        <f>Sources!C592</f>
        <v>217.5</v>
      </c>
    </row>
    <row r="91" spans="3:13">
      <c r="C91" s="5" t="s">
        <v>235</v>
      </c>
    </row>
    <row r="92" spans="3:13">
      <c r="C92" t="s">
        <v>236</v>
      </c>
      <c r="G92" s="8">
        <f>Sources!C11</f>
        <v>6558</v>
      </c>
      <c r="H92" s="8">
        <f>Sources!C68</f>
        <v>6550</v>
      </c>
      <c r="I92" s="8">
        <f>Sources!C174</f>
        <v>7290</v>
      </c>
      <c r="J92" s="8">
        <f>Sources!C280</f>
        <v>7292</v>
      </c>
      <c r="K92" s="8">
        <f>Sources!C386</f>
        <v>8031</v>
      </c>
      <c r="L92" s="8">
        <f>Sources!C492</f>
        <v>8033</v>
      </c>
      <c r="M92" s="8">
        <f>Sources!C600</f>
        <v>9267</v>
      </c>
    </row>
    <row r="93" spans="3:13">
      <c r="C93" t="s">
        <v>237</v>
      </c>
      <c r="H93" s="8">
        <f>Sources!C69</f>
        <v>490</v>
      </c>
      <c r="I93" s="8">
        <f>Sources!C175</f>
        <v>739</v>
      </c>
      <c r="J93" s="8">
        <f>Sources!C281</f>
        <v>0</v>
      </c>
      <c r="K93" s="8">
        <f>Sources!C387</f>
        <v>738</v>
      </c>
      <c r="L93" s="8">
        <f>Sources!C493</f>
        <v>0</v>
      </c>
      <c r="M93" s="8">
        <f>Sources!C601</f>
        <v>1233</v>
      </c>
    </row>
    <row r="94" spans="3:13">
      <c r="C94" t="s">
        <v>238</v>
      </c>
      <c r="H94" s="8">
        <f>Sources!C70</f>
        <v>500</v>
      </c>
      <c r="I94" s="8">
        <f>Sources!C176</f>
        <v>0</v>
      </c>
      <c r="J94" s="8">
        <f>Sources!C282</f>
        <v>0</v>
      </c>
      <c r="K94" s="8">
        <f>Sources!C388</f>
        <v>0</v>
      </c>
      <c r="L94" s="8">
        <f>Sources!C494</f>
        <v>0</v>
      </c>
      <c r="M94" s="8">
        <f>Sources!C602</f>
        <v>0</v>
      </c>
    </row>
    <row r="95" spans="3:13">
      <c r="C95" t="s">
        <v>239</v>
      </c>
      <c r="H95" s="3">
        <f>H92-(G92+H93-H94)</f>
        <v>2</v>
      </c>
      <c r="I95" s="3">
        <f>I92-(H92+I93-I94)</f>
        <v>1</v>
      </c>
      <c r="J95" s="3">
        <f>J92-(I92+J93-J94)</f>
        <v>2</v>
      </c>
      <c r="K95" s="3">
        <f>K92-(J92+K93-K94)</f>
        <v>1</v>
      </c>
      <c r="L95" s="3">
        <f>L92-(K92+L93-L94)</f>
        <v>2</v>
      </c>
      <c r="M95" s="3">
        <f>M92-(L92+M93-M94)</f>
        <v>1</v>
      </c>
    </row>
    <row r="96" spans="3:13">
      <c r="C96" t="s">
        <v>240</v>
      </c>
      <c r="H96" s="8">
        <f>Sources!C56</f>
        <v>6519</v>
      </c>
      <c r="I96" s="8">
        <f>Sources!C162</f>
        <v>7274</v>
      </c>
      <c r="J96" s="8">
        <f>Sources!C268</f>
        <v>6465</v>
      </c>
      <c r="K96" s="8">
        <f>Sources!C374</f>
        <v>7711</v>
      </c>
      <c r="L96" s="8">
        <f>Sources!C480</f>
        <v>9074</v>
      </c>
      <c r="M96" s="8">
        <f>Sources!C588</f>
        <v>10606</v>
      </c>
    </row>
    <row r="97" spans="3:13">
      <c r="C97" t="s">
        <v>241</v>
      </c>
      <c r="H97" s="8">
        <f>Sources!C55</f>
        <v>-4892</v>
      </c>
      <c r="I97" s="8">
        <f>Sources!C161</f>
        <v>-5196</v>
      </c>
      <c r="J97" s="8">
        <f>Sources!C267</f>
        <v>-3728</v>
      </c>
      <c r="K97" s="8">
        <f>Sources!C373</f>
        <v>-6821</v>
      </c>
      <c r="L97" s="8">
        <f>Sources!C479</f>
        <v>-7264</v>
      </c>
      <c r="M97" s="8">
        <f>Sources!C587</f>
        <v>-7652</v>
      </c>
    </row>
    <row r="98" spans="3:13">
      <c r="C98" t="s">
        <v>242</v>
      </c>
      <c r="H98" s="8">
        <f>Sources!C54</f>
        <v>-1416</v>
      </c>
      <c r="I98" s="8">
        <f>Sources!C160</f>
        <v>-2037</v>
      </c>
      <c r="J98" s="8">
        <f>Sources!C266</f>
        <v>-2669</v>
      </c>
      <c r="K98" s="8">
        <f>Sources!C372</f>
        <v>-1051</v>
      </c>
      <c r="L98" s="8">
        <f>Sources!C478</f>
        <v>-1747</v>
      </c>
      <c r="M98" s="8">
        <f>Sources!C586</f>
        <v>-2663</v>
      </c>
    </row>
    <row r="99" spans="3:13">
      <c r="C99" t="s">
        <v>243</v>
      </c>
      <c r="H99" s="8">
        <f>Sources!C49</f>
        <v>16</v>
      </c>
      <c r="I99" s="8">
        <f>Sources!C155</f>
        <v>-1</v>
      </c>
      <c r="J99" s="8">
        <f>Sources!C261</f>
        <v>-30</v>
      </c>
      <c r="K99" s="8">
        <f>Sources!C367</f>
        <v>12</v>
      </c>
      <c r="L99" s="8">
        <f>Sources!C473</f>
        <v>-14</v>
      </c>
      <c r="M99" s="8">
        <f>Sources!C580</f>
        <v>23</v>
      </c>
    </row>
    <row r="100" spans="3:13">
      <c r="C100" t="s">
        <v>244</v>
      </c>
      <c r="M100" s="8">
        <f>Sources!C581</f>
        <v>171</v>
      </c>
    </row>
    <row r="101" spans="3:13">
      <c r="C101" t="s">
        <v>245</v>
      </c>
      <c r="G101" s="8">
        <f>Sources!C5</f>
        <v>494</v>
      </c>
      <c r="H101" s="8">
        <f>Sources!C44</f>
        <v>721</v>
      </c>
      <c r="I101" s="8">
        <f>Sources!C150</f>
        <v>761</v>
      </c>
      <c r="J101" s="8">
        <f>Sources!C256</f>
        <v>799</v>
      </c>
      <c r="K101" s="8">
        <f>Sources!C362</f>
        <v>650</v>
      </c>
      <c r="L101" s="8">
        <f>Sources!C468</f>
        <v>699</v>
      </c>
      <c r="M101" s="8">
        <f>Sources!C575</f>
        <v>842</v>
      </c>
    </row>
    <row r="102" spans="3:13">
      <c r="C102" t="s">
        <v>246</v>
      </c>
      <c r="H102" s="3">
        <f>G101+SUM(H96,H97,H98,H99)-H101</f>
        <v>0</v>
      </c>
      <c r="I102" s="3">
        <f>H101+SUM(I96,I97,I98,I99)-I101</f>
        <v>0</v>
      </c>
      <c r="J102" s="3">
        <f>I101+SUM(J96,J97,J98,J99)-J101</f>
        <v>0</v>
      </c>
      <c r="K102" s="3">
        <f>J101+SUM(K96,K97,K98,K99)-K101</f>
        <v>0</v>
      </c>
      <c r="L102" s="3">
        <f>K101+SUM(L96,L97,L98,L99)-L101</f>
        <v>0</v>
      </c>
      <c r="M102" s="3">
        <f>L101+SUM(M96,M97,M98,M99)-M100-M101</f>
        <v>0</v>
      </c>
    </row>
    <row r="105" spans="3:13">
      <c r="C105" s="5" t="s">
        <v>247</v>
      </c>
    </row>
    <row r="106" spans="3:13">
      <c r="C106" t="s">
        <v>248</v>
      </c>
      <c r="H106" s="8">
        <f>Sources!C85</f>
        <v>429</v>
      </c>
      <c r="I106" s="8">
        <f>Sources!C191</f>
        <v>402</v>
      </c>
      <c r="J106" s="8">
        <f>Sources!C297</f>
        <v>412</v>
      </c>
      <c r="K106" s="8">
        <f>Sources!C403</f>
        <v>433</v>
      </c>
      <c r="L106" s="8">
        <f>Sources!C509</f>
        <v>473</v>
      </c>
      <c r="M106" s="8">
        <f>Sources!C617</f>
        <v>495</v>
      </c>
    </row>
    <row r="107" spans="3:13">
      <c r="C107" t="s">
        <v>249</v>
      </c>
      <c r="H107" s="8">
        <f>Sources!C119</f>
        <v>2</v>
      </c>
      <c r="I107" s="8">
        <f>Sources!C225</f>
        <v>171</v>
      </c>
      <c r="J107" s="8">
        <f>Sources!C331</f>
        <v>-204</v>
      </c>
      <c r="K107" s="8">
        <f>Sources!C437</f>
        <v>-105</v>
      </c>
      <c r="L107" s="8">
        <f>Sources!C543</f>
        <v>-30</v>
      </c>
      <c r="M107" s="8">
        <f>Sources!C656</f>
        <v>-48</v>
      </c>
    </row>
    <row r="108" spans="3:13">
      <c r="C108" t="s">
        <v>250</v>
      </c>
      <c r="H108" s="8">
        <f>Sources!C111</f>
        <v>279</v>
      </c>
      <c r="I108" s="8">
        <f>Sources!C217</f>
        <v>355</v>
      </c>
      <c r="J108" s="8">
        <f>Sources!C323</f>
        <v>351</v>
      </c>
      <c r="K108" s="8">
        <f>Sources!C429</f>
        <v>353</v>
      </c>
      <c r="L108" s="8">
        <f>Sources!C535</f>
        <v>449</v>
      </c>
      <c r="M108" s="8">
        <f>Sources!C648</f>
        <v>508</v>
      </c>
    </row>
    <row r="109" spans="3:13">
      <c r="C109" t="s">
        <v>251</v>
      </c>
      <c r="H109" s="3">
        <f>SUM(H22,H70,H106,H107,H108)</f>
        <v>31981</v>
      </c>
      <c r="I109" s="3">
        <f>SUM(I22,I70,I106,I107,I108)</f>
        <v>34816</v>
      </c>
      <c r="J109" s="3">
        <f>SUM(J22,J70,J106,J107,J108)</f>
        <v>36884</v>
      </c>
      <c r="K109" s="3">
        <f>SUM(K22,K70,K106,K107,K108)</f>
        <v>41364</v>
      </c>
      <c r="L109" s="3">
        <f>SUM(L22,L70,L106,L107,L108)</f>
        <v>46423</v>
      </c>
      <c r="M109" s="3">
        <f>SUM(M22,M70,M106,M107,M108)</f>
        <v>48828</v>
      </c>
    </row>
    <row r="110" spans="3:13">
      <c r="C110" t="s">
        <v>252</v>
      </c>
      <c r="H110" s="8">
        <f>Sources!C98</f>
        <v>339</v>
      </c>
      <c r="I110" s="8">
        <f>Sources!C204</f>
        <v>340</v>
      </c>
      <c r="J110" s="8">
        <f>Sources!C310</f>
        <v>351</v>
      </c>
      <c r="K110" s="8">
        <f>Sources!C416</f>
        <v>376</v>
      </c>
      <c r="L110" s="8">
        <f>Sources!C522</f>
        <v>392</v>
      </c>
      <c r="M110" s="8">
        <f>Sources!C633</f>
        <v>425</v>
      </c>
    </row>
    <row r="111" spans="3:13">
      <c r="C111" t="s">
        <v>253</v>
      </c>
      <c r="H111" s="3">
        <f>SUM(H55,H52,H54,H110)</f>
        <v>28744</v>
      </c>
      <c r="I111" s="3">
        <f>SUM(I55,I52,I54,I110)</f>
        <v>30358</v>
      </c>
      <c r="J111" s="3">
        <f>SUM(J55,J52,J54,J110)</f>
        <v>33530</v>
      </c>
      <c r="K111" s="3">
        <f>SUM(K55,K52,K54,K110)</f>
        <v>37993</v>
      </c>
      <c r="L111" s="3">
        <f>SUM(L55,L52,L54,L110)</f>
        <v>40243</v>
      </c>
      <c r="M111" s="3">
        <f>SUM(M55,M52,M54,M110)</f>
        <v>41032</v>
      </c>
    </row>
    <row r="112" spans="3:13">
      <c r="C112" t="s">
        <v>254</v>
      </c>
      <c r="H112" s="3">
        <f>H109-H111</f>
        <v>3237</v>
      </c>
      <c r="I112" s="3">
        <f>I109-I111</f>
        <v>4458</v>
      </c>
      <c r="J112" s="3">
        <f>J109-J111</f>
        <v>3354</v>
      </c>
      <c r="K112" s="3">
        <f>K109-K111</f>
        <v>3371</v>
      </c>
      <c r="L112" s="3">
        <f>L109-L111</f>
        <v>6180</v>
      </c>
      <c r="M112" s="3">
        <f>M109-M111</f>
        <v>7796</v>
      </c>
    </row>
    <row r="113" spans="3:13">
      <c r="C113" t="s">
        <v>255</v>
      </c>
      <c r="H113" s="8">
        <f>Sources!C133</f>
        <v>540</v>
      </c>
      <c r="I113" s="8">
        <f>Sources!C239</f>
        <v>796</v>
      </c>
      <c r="J113" s="8">
        <f>Sources!C345</f>
        <v>512</v>
      </c>
      <c r="K113" s="8">
        <f>Sources!C451</f>
        <v>380</v>
      </c>
      <c r="L113" s="8">
        <f>Sources!C557</f>
        <v>1181</v>
      </c>
      <c r="M113" s="8">
        <f>Sources!C670</f>
        <v>1508</v>
      </c>
    </row>
    <row r="114" spans="3:13">
      <c r="C114" t="s">
        <v>256</v>
      </c>
      <c r="H114" s="3">
        <f>H109-Sources!C140</f>
        <v>0</v>
      </c>
      <c r="I114" s="3">
        <f>I109-Sources!C246</f>
        <v>0</v>
      </c>
      <c r="J114" s="3">
        <f>J109-Sources!C352</f>
        <v>0</v>
      </c>
      <c r="K114" s="3">
        <f>K109-Sources!C458</f>
        <v>0</v>
      </c>
      <c r="L114" s="3">
        <f>L109-Sources!C564</f>
        <v>0</v>
      </c>
      <c r="M114" s="3">
        <f>M109-Sources!C677</f>
        <v>0</v>
      </c>
    </row>
    <row r="115" spans="3:13">
      <c r="C115" t="s">
        <v>257</v>
      </c>
      <c r="H115" s="3">
        <f>H111-Sources!C135</f>
        <v>0</v>
      </c>
      <c r="I115" s="3">
        <f>I111-Sources!C241</f>
        <v>0</v>
      </c>
      <c r="J115" s="3">
        <f>J111-Sources!C347</f>
        <v>0</v>
      </c>
      <c r="K115" s="3">
        <f>K111-Sources!C453</f>
        <v>0</v>
      </c>
      <c r="L115" s="3">
        <f>L111-Sources!C559</f>
        <v>0</v>
      </c>
      <c r="M115" s="3">
        <f>M111-Sources!C672</f>
        <v>0</v>
      </c>
    </row>
    <row r="116" spans="3:13">
      <c r="C116" t="s">
        <v>258</v>
      </c>
      <c r="H116" s="3">
        <f>H112-H113-H77</f>
        <v>0</v>
      </c>
      <c r="I116" s="3">
        <f>I112-I113-I77</f>
        <v>0</v>
      </c>
      <c r="J116" s="3">
        <f>J112-J113-J77</f>
        <v>0</v>
      </c>
      <c r="K116" s="3">
        <f>K112-K113-K77</f>
        <v>0</v>
      </c>
      <c r="L116" s="3">
        <f>L112-L113-L77</f>
        <v>0</v>
      </c>
      <c r="M116" s="3">
        <f>M112-M113-M77</f>
        <v>0</v>
      </c>
    </row>
    <row r="117" spans="3:13">
      <c r="C117" t="s">
        <v>259</v>
      </c>
      <c r="H117" s="3">
        <f>H77-Sources!C47</f>
        <v>0</v>
      </c>
      <c r="I117" s="3">
        <f>I77-Sources!C153</f>
        <v>0</v>
      </c>
      <c r="J117" s="3">
        <f>J77-Sources!C259</f>
        <v>0</v>
      </c>
      <c r="K117" s="3">
        <f>K77-Sources!C365</f>
        <v>0</v>
      </c>
      <c r="L117" s="3">
        <f>L77-Sources!C471</f>
        <v>0</v>
      </c>
      <c r="M117" s="3">
        <f>M77-Sources!C578</f>
        <v>0</v>
      </c>
    </row>
    <row r="120" spans="3:13">
      <c r="C120" s="5" t="s">
        <v>260</v>
      </c>
    </row>
    <row r="121" spans="3:13">
      <c r="C121" t="s">
        <v>261</v>
      </c>
      <c r="G121" s="8">
        <f>Sources!C2</f>
        <v>618</v>
      </c>
      <c r="H121" s="8">
        <f>Sources!C37</f>
        <v>603</v>
      </c>
      <c r="I121" s="8">
        <f>Sources!C143</f>
        <v>615</v>
      </c>
      <c r="J121" s="8">
        <f>Sources!C249</f>
        <v>650</v>
      </c>
      <c r="K121" s="8">
        <f>Sources!C355</f>
        <v>688</v>
      </c>
      <c r="L121" s="8">
        <f>Sources!C461</f>
        <v>752</v>
      </c>
      <c r="M121" s="8">
        <f>Sources!C567</f>
        <v>877</v>
      </c>
    </row>
    <row r="122" spans="3:13">
      <c r="C122" t="s">
        <v>262</v>
      </c>
      <c r="G122" s="8">
        <f>Sources!C26</f>
        <v>7909</v>
      </c>
      <c r="H122" s="8">
        <f>Sources!C114</f>
        <v>7829</v>
      </c>
      <c r="I122" s="8">
        <f>Sources!C220</f>
        <v>8085</v>
      </c>
      <c r="J122" s="8">
        <f>Sources!C326</f>
        <v>8922</v>
      </c>
      <c r="K122" s="8">
        <f>Sources!C432</f>
        <v>10282</v>
      </c>
      <c r="L122" s="8">
        <f>Sources!C538</f>
        <v>11110</v>
      </c>
      <c r="M122" s="8">
        <f>Sources!C651</f>
        <v>10992</v>
      </c>
    </row>
    <row r="123" spans="3:13">
      <c r="C123" t="s">
        <v>263</v>
      </c>
      <c r="J123" s="8">
        <f>Sources!C283</f>
        <v>1877</v>
      </c>
      <c r="K123" s="8">
        <f>Sources!C389</f>
        <v>1504</v>
      </c>
      <c r="L123" s="8">
        <f>Sources!C495</f>
        <v>1762</v>
      </c>
      <c r="M123" s="8">
        <f>Sources!C603</f>
        <v>887</v>
      </c>
    </row>
    <row r="124" spans="3:13">
      <c r="C124" t="s">
        <v>264</v>
      </c>
      <c r="G124" s="8">
        <f>Sources!C9</f>
        <v>4619</v>
      </c>
      <c r="H124" s="8">
        <f>Sources!C63</f>
        <v>4242</v>
      </c>
      <c r="I124" s="8">
        <f>Sources!C169</f>
        <v>3890</v>
      </c>
      <c r="J124" s="8">
        <f>Sources!C275</f>
        <v>3579</v>
      </c>
      <c r="K124" s="8">
        <f>Sources!C381</f>
        <v>3249</v>
      </c>
      <c r="L124" s="8">
        <f>Sources!C487</f>
        <v>3171</v>
      </c>
      <c r="M124" s="8">
        <f>Sources!C595</f>
        <v>3010</v>
      </c>
    </row>
    <row r="125" spans="3:13">
      <c r="C125" t="s">
        <v>265</v>
      </c>
      <c r="G125" s="8">
        <f>Sources!C17</f>
        <v>3961</v>
      </c>
      <c r="H125" s="8">
        <f>Sources!C92</f>
        <v>3976</v>
      </c>
      <c r="I125" s="8">
        <f>Sources!C198</f>
        <v>4008</v>
      </c>
      <c r="J125" s="8">
        <f>Sources!C304</f>
        <v>3952</v>
      </c>
      <c r="K125" s="8">
        <f>Sources!C410</f>
        <v>3976</v>
      </c>
      <c r="L125" s="8">
        <f>Sources!C516</f>
        <v>4233</v>
      </c>
      <c r="M125" s="8">
        <f>Sources!C624</f>
        <v>4066</v>
      </c>
    </row>
    <row r="126" spans="3:13">
      <c r="C126" t="s">
        <v>266</v>
      </c>
      <c r="G126" s="8">
        <f>Sources!C20</f>
        <v>330</v>
      </c>
      <c r="H126" s="8">
        <f>Sources!C97</f>
        <v>317</v>
      </c>
      <c r="I126" s="8">
        <f>Sources!C203</f>
        <v>306</v>
      </c>
      <c r="J126" s="8">
        <f>Sources!C309</f>
        <v>287</v>
      </c>
      <c r="K126" s="8">
        <f>Sources!C415</f>
        <v>277</v>
      </c>
      <c r="L126" s="8">
        <f>Sources!C521</f>
        <v>360</v>
      </c>
      <c r="M126" s="8">
        <f>Sources!C632</f>
        <v>336</v>
      </c>
    </row>
    <row r="127" spans="3:13">
      <c r="C127" t="s">
        <v>267</v>
      </c>
      <c r="G127" s="8">
        <f>Sources!C23</f>
        <v>3110</v>
      </c>
      <c r="H127" s="8">
        <f>Sources!C106</f>
        <v>3173</v>
      </c>
      <c r="I127" s="8">
        <f>Sources!C212</f>
        <v>3530</v>
      </c>
      <c r="J127" s="8">
        <f>Sources!C318</f>
        <v>3274</v>
      </c>
      <c r="K127" s="8">
        <f>Sources!C424</f>
        <v>3943</v>
      </c>
      <c r="L127" s="8">
        <f>Sources!C530</f>
        <v>4183</v>
      </c>
      <c r="M127" s="8">
        <f>Sources!C642</f>
        <v>4279</v>
      </c>
    </row>
    <row r="128" spans="3:13">
      <c r="C128" t="s">
        <v>268</v>
      </c>
      <c r="M128" s="8">
        <f>Sources!C571</f>
        <v>4550</v>
      </c>
    </row>
    <row r="129" spans="3:13">
      <c r="C129" t="s">
        <v>269</v>
      </c>
      <c r="G129" s="8">
        <f>Sources!C31</f>
        <v>110122</v>
      </c>
      <c r="H129" s="8">
        <f>Sources!C134</f>
        <v>116764</v>
      </c>
      <c r="I129" s="8">
        <f>Sources!C240</f>
        <v>120466</v>
      </c>
      <c r="J129" s="8">
        <f>Sources!C346</f>
        <v>115717</v>
      </c>
      <c r="K129" s="8">
        <f>Sources!C452</f>
        <v>125978</v>
      </c>
      <c r="L129" s="8">
        <f>Sources!C558</f>
        <v>133189</v>
      </c>
      <c r="M129" s="8">
        <f>Sources!C671</f>
        <v>143708</v>
      </c>
    </row>
    <row r="130" spans="3:13">
      <c r="C130" t="s">
        <v>270</v>
      </c>
      <c r="G130" s="8">
        <f>Sources!C4</f>
        <v>51849</v>
      </c>
      <c r="H130" s="8">
        <f>Sources!C43</f>
        <v>54521</v>
      </c>
      <c r="I130" s="8">
        <f>Sources!C149</f>
        <v>56907</v>
      </c>
      <c r="J130" s="8">
        <f>Sources!C255</f>
        <v>58649</v>
      </c>
      <c r="K130" s="8">
        <f>Sources!C361</f>
        <v>61627</v>
      </c>
      <c r="L130" s="8">
        <f>Sources!C467</f>
        <v>64093</v>
      </c>
      <c r="M130" s="8">
        <f>Sources!C574</f>
        <v>65737</v>
      </c>
    </row>
    <row r="131" spans="3:13">
      <c r="C131" t="s">
        <v>271</v>
      </c>
      <c r="G131" s="8">
        <f>Sources!C8</f>
        <v>4619</v>
      </c>
      <c r="H131" s="8">
        <f>Sources!C62</f>
        <v>4261</v>
      </c>
      <c r="I131" s="8">
        <f>Sources!C168</f>
        <v>3911</v>
      </c>
      <c r="J131" s="8">
        <f>Sources!C274</f>
        <v>3596</v>
      </c>
      <c r="K131" s="8">
        <f>Sources!C380</f>
        <v>3269</v>
      </c>
      <c r="L131" s="8">
        <f>Sources!C486</f>
        <v>3189</v>
      </c>
      <c r="M131" s="8">
        <f>Sources!C594</f>
        <v>3026</v>
      </c>
    </row>
    <row r="132" spans="3:13">
      <c r="C132" t="s">
        <v>272</v>
      </c>
      <c r="G132" s="8">
        <f>Sources!C28</f>
        <v>363</v>
      </c>
      <c r="H132" s="8">
        <f>Sources!C120</f>
        <v>356</v>
      </c>
      <c r="I132" s="8">
        <f>Sources!C226</f>
        <v>384</v>
      </c>
      <c r="J132" s="8">
        <f>Sources!C332</f>
        <v>419</v>
      </c>
      <c r="K132" s="8">
        <f>Sources!C438</f>
        <v>518</v>
      </c>
      <c r="L132" s="8">
        <f>Sources!C544</f>
        <v>550</v>
      </c>
      <c r="M132" s="8">
        <f>Sources!C657</f>
        <v>529</v>
      </c>
    </row>
    <row r="133" spans="3:13">
      <c r="C133" t="s">
        <v>273</v>
      </c>
      <c r="G133" s="8">
        <f>Sources!C12</f>
        <v>137</v>
      </c>
      <c r="H133" s="8">
        <f>Sources!C71</f>
        <v>558</v>
      </c>
      <c r="I133" s="8">
        <f>Sources!C177</f>
        <v>289</v>
      </c>
    </row>
    <row r="134" spans="3:13">
      <c r="C134" t="s">
        <v>274</v>
      </c>
      <c r="G134" s="8">
        <f>Sources!C25</f>
        <v>6049</v>
      </c>
      <c r="H134" s="8">
        <f>Sources!C110</f>
        <v>6095</v>
      </c>
      <c r="I134" s="8">
        <f>Sources!C216</f>
        <v>6329</v>
      </c>
      <c r="J134" s="8">
        <f>Sources!C322</f>
        <v>5961</v>
      </c>
      <c r="K134" s="8">
        <f>Sources!C428</f>
        <v>6740</v>
      </c>
      <c r="L134" s="8">
        <f>Sources!C534</f>
        <v>7171</v>
      </c>
      <c r="M134" s="8">
        <f>Sources!C647</f>
        <v>7282</v>
      </c>
    </row>
    <row r="135" spans="3:13">
      <c r="C135" t="s">
        <v>275</v>
      </c>
      <c r="M135" s="8">
        <f>Sources!C635</f>
        <v>2542</v>
      </c>
    </row>
    <row r="136" spans="3:13">
      <c r="C136" t="s">
        <v>276</v>
      </c>
      <c r="G136" s="8">
        <f>Sources!C33</f>
        <v>84179</v>
      </c>
      <c r="H136" s="8">
        <f>Sources!C137</f>
        <v>87563</v>
      </c>
      <c r="I136" s="8">
        <f>Sources!C243</f>
        <v>91579</v>
      </c>
      <c r="J136" s="8">
        <f>Sources!C349</f>
        <v>94157</v>
      </c>
      <c r="K136" s="8">
        <f>Sources!C455</f>
        <v>101057</v>
      </c>
      <c r="L136" s="8">
        <f>Sources!C561</f>
        <v>105325</v>
      </c>
      <c r="M136" s="8">
        <f>Sources!C674</f>
        <v>110814</v>
      </c>
    </row>
    <row r="137" spans="3:13">
      <c r="C137" t="s">
        <v>277</v>
      </c>
      <c r="G137" s="8">
        <f>Sources!C7</f>
        <v>23469</v>
      </c>
      <c r="H137" s="8">
        <f>Sources!C61</f>
        <v>23743</v>
      </c>
      <c r="I137" s="8">
        <f>Sources!C167</f>
        <v>24154</v>
      </c>
      <c r="J137" s="8">
        <f>Sources!C273</f>
        <v>24565</v>
      </c>
      <c r="K137" s="8">
        <f>Sources!C379</f>
        <v>24906</v>
      </c>
      <c r="L137" s="8">
        <f>Sources!C485</f>
        <v>25452</v>
      </c>
      <c r="M137" s="8">
        <f>Sources!C593</f>
        <v>25910</v>
      </c>
    </row>
    <row r="138" spans="3:13">
      <c r="C138" t="s">
        <v>278</v>
      </c>
      <c r="G138" s="8">
        <f>Sources!C29</f>
        <v>36977</v>
      </c>
      <c r="H138" s="8">
        <f>Sources!C127</f>
        <v>38771</v>
      </c>
      <c r="I138" s="8">
        <f>Sources!C233</f>
        <v>41555</v>
      </c>
      <c r="J138" s="8">
        <f>Sources!C339</f>
        <v>43516</v>
      </c>
      <c r="K138" s="8">
        <f>Sources!C445</f>
        <v>45591</v>
      </c>
      <c r="L138" s="8">
        <f>Sources!C551</f>
        <v>49630</v>
      </c>
      <c r="M138" s="8">
        <f>Sources!C664</f>
        <v>54931</v>
      </c>
    </row>
    <row r="139" spans="3:13">
      <c r="C139" t="s">
        <v>279</v>
      </c>
      <c r="G139" s="8">
        <f>Sources!C3</f>
        <v>640</v>
      </c>
      <c r="H139" s="8">
        <f>Sources!C40</f>
        <v>2502</v>
      </c>
      <c r="I139" s="8">
        <f>Sources!C146</f>
        <v>1193</v>
      </c>
      <c r="J139" s="8">
        <f>Sources!C252</f>
        <v>-6445</v>
      </c>
      <c r="K139" s="8">
        <f>Sources!C358</f>
        <v>-4471</v>
      </c>
      <c r="L139" s="8">
        <f>Sources!C464</f>
        <v>-4967</v>
      </c>
      <c r="M139" s="8">
        <f>Sources!C570</f>
        <v>-2500</v>
      </c>
    </row>
    <row r="140" spans="3:13">
      <c r="C140" t="s">
        <v>280</v>
      </c>
      <c r="G140" s="8">
        <f>Sources!C35</f>
        <v>-35143</v>
      </c>
      <c r="H140" s="8">
        <f>Sources!C141</f>
        <v>-35815</v>
      </c>
      <c r="I140" s="8">
        <f>Sources!C247</f>
        <v>-38015</v>
      </c>
      <c r="J140" s="8">
        <f>Sources!C353</f>
        <v>-40076</v>
      </c>
      <c r="K140" s="8">
        <f>Sources!C459</f>
        <v>-41105</v>
      </c>
      <c r="L140" s="8">
        <f>Sources!C565</f>
        <v>-42251</v>
      </c>
      <c r="M140" s="8">
        <f>Sources!C678</f>
        <v>-45447</v>
      </c>
    </row>
    <row r="141" spans="3:13">
      <c r="C141" t="s">
        <v>281</v>
      </c>
      <c r="G141" s="3">
        <f>SUM(G65,G101,G121,G122,G44,G17,G50,G123,G124,G125,G126,G127,G128)-G129</f>
        <v>0</v>
      </c>
      <c r="H141" s="3">
        <f>SUM(H65,H101,H121,H122,H44,H17,H50,H123,H124,H125,H126,H127,H128)-H129</f>
        <v>0</v>
      </c>
      <c r="I141" s="3">
        <f>SUM(I65,I101,I121,I122,I44,I17,I50,I123,I124,I125,I126,I127,I128)-I129</f>
        <v>0</v>
      </c>
      <c r="J141" s="3">
        <f>SUM(J65,J101,J121,J122,J44,J17,J50,J123,J124,J125,J126,J127,J128)-J129</f>
        <v>0</v>
      </c>
      <c r="K141" s="3">
        <f>SUM(K65,K101,K121,K122,K44,K17,K50,K123,K124,K125,K126,K127,K128)-K129</f>
        <v>0</v>
      </c>
      <c r="L141" s="3">
        <f>SUM(L65,L101,L121,L122,L44,L17,L50,L123,L124,L125,L126,L127,L128)-L129</f>
        <v>0</v>
      </c>
      <c r="M141" s="3">
        <f>SUM(M65,M101,M121,M122,M44,M17,M50,M123,M124,M125,M126,M127,M128)-M129</f>
        <v>0</v>
      </c>
    </row>
    <row r="142" spans="3:13">
      <c r="C142" t="s">
        <v>282</v>
      </c>
      <c r="G142" s="3">
        <f>SUM(G130,G16,G92,G131,G132,G133,G134,G135)-G136</f>
        <v>0</v>
      </c>
      <c r="H142" s="3">
        <f>SUM(H130,H16,H92,H131,H132,H133,H134,H135)-H136</f>
        <v>0</v>
      </c>
      <c r="I142" s="3">
        <f>SUM(I130,I16,I92,I131,I132,I133,I134,I135)-I136</f>
        <v>0</v>
      </c>
      <c r="J142" s="3">
        <f>SUM(J130,J16,J92,J131,J132,J133,J134,J135)-J136</f>
        <v>0</v>
      </c>
      <c r="K142" s="3">
        <f>SUM(K130,K16,K92,K131,K132,K133,K134,K135)-K136</f>
        <v>0</v>
      </c>
      <c r="L142" s="3">
        <f>SUM(L130,L16,L92,L131,L132,L133,L134,L135)-L136</f>
        <v>0</v>
      </c>
      <c r="M142" s="3">
        <f>SUM(M130,M16,M92,M131,M132,M133,M134,M135)-M136</f>
        <v>0</v>
      </c>
    </row>
    <row r="143" spans="3:13">
      <c r="C143" t="s">
        <v>283</v>
      </c>
      <c r="G143" s="3">
        <f>SUM(G137,G138,G139,G140)-G86</f>
        <v>0</v>
      </c>
      <c r="H143" s="3">
        <f>SUM(H137,H138,H139,H140)-H86</f>
        <v>0</v>
      </c>
      <c r="I143" s="3">
        <f>SUM(I137,I138,I139,I140)-I86</f>
        <v>0</v>
      </c>
      <c r="J143" s="3">
        <f>SUM(J137,J138,J139,J140)-J86</f>
        <v>0</v>
      </c>
      <c r="K143" s="3">
        <f>SUM(K137,K138,K139,K140)-K86</f>
        <v>0</v>
      </c>
      <c r="L143" s="3">
        <f>SUM(L137,L138,L139,L140)-L86</f>
        <v>0</v>
      </c>
      <c r="M143" s="3">
        <f>SUM(M137,M138,M139,M140)-M86</f>
        <v>0</v>
      </c>
    </row>
    <row r="144" spans="3:13">
      <c r="C144" t="s">
        <v>284</v>
      </c>
      <c r="G144" s="3">
        <f>G129-G136-G86</f>
        <v>0</v>
      </c>
      <c r="H144" s="3">
        <f>H129-H136-H86</f>
        <v>0</v>
      </c>
      <c r="I144" s="3">
        <f>I129-I136-I86</f>
        <v>0</v>
      </c>
      <c r="J144" s="3">
        <f>J129-J136-J86</f>
        <v>0</v>
      </c>
      <c r="K144" s="3">
        <f>K129-K136-K86</f>
        <v>0</v>
      </c>
      <c r="L144" s="3">
        <f>L129-L136-L86</f>
        <v>0</v>
      </c>
      <c r="M144" s="3">
        <f>M129-M136-M86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C2:D14"/>
  <sheetViews>
    <sheetView showGridLines="0" workbookViewId="0"/>
  </sheetViews>
  <sheetFormatPr defaultRowHeight="15"/>
  <cols>
    <col min="3" max="3" width="32.7109375" customWidth="1"/>
    <col min="4" max="4" width="76.7109375" customWidth="1"/>
  </cols>
  <sheetData>
    <row r="2" spans="3:4">
      <c r="C2" s="1" t="s">
        <v>321</v>
      </c>
    </row>
    <row r="5" spans="3:4">
      <c r="C5" t="s">
        <v>322</v>
      </c>
      <c r="D5" t="s">
        <v>323</v>
      </c>
    </row>
    <row r="7" spans="3:4">
      <c r="C7" t="s">
        <v>324</v>
      </c>
      <c r="D7" t="s">
        <v>325</v>
      </c>
    </row>
    <row r="8" spans="3:4">
      <c r="C8" t="s">
        <v>326</v>
      </c>
      <c r="D8" t="s">
        <v>327</v>
      </c>
    </row>
    <row r="9" spans="3:4">
      <c r="C9" t="s">
        <v>328</v>
      </c>
      <c r="D9" t="s">
        <v>329</v>
      </c>
    </row>
    <row r="10" spans="3:4">
      <c r="C10" t="s">
        <v>330</v>
      </c>
      <c r="D10" t="str">
        <f>Scenarios!D6</f>
        <v>Base</v>
      </c>
    </row>
    <row r="11" spans="3:4">
      <c r="C11" t="s">
        <v>331</v>
      </c>
      <c r="D11" s="3">
        <f>Model!R22</f>
        <v>53029.62380822447</v>
      </c>
    </row>
    <row r="12" spans="3:4">
      <c r="C12" t="s">
        <v>332</v>
      </c>
      <c r="D12" s="3">
        <f>Model!R37</f>
        <v>79257.95035623772</v>
      </c>
    </row>
    <row r="13" spans="3:4">
      <c r="C13" t="s">
        <v>333</v>
      </c>
      <c r="D13" s="4">
        <f>Summary!R15</f>
        <v>0.9007428878504018</v>
      </c>
    </row>
    <row r="14" spans="3:4">
      <c r="C14" t="s">
        <v>334</v>
      </c>
      <c r="D14" t="str">
        <f>Summary!M25</f>
        <v>OPEN: historical stock bridges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67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39.7109375" customWidth="1"/>
    <col min="3" max="3" width="16.7109375" customWidth="1"/>
    <col min="4" max="7" width="15.7109375" customWidth="1"/>
    <col min="8" max="10" width="38.7109375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>
        <v>2019</v>
      </c>
      <c r="B2" t="s">
        <v>10</v>
      </c>
      <c r="C2" s="3">
        <v>618</v>
      </c>
      <c r="D2" t="s">
        <v>11</v>
      </c>
      <c r="E2" t="s">
        <v>12</v>
      </c>
      <c r="F2">
        <v>145</v>
      </c>
      <c r="G2" t="s">
        <v>13</v>
      </c>
      <c r="H2" s="9" t="s">
        <v>14</v>
      </c>
      <c r="I2" s="9" t="s">
        <v>15</v>
      </c>
      <c r="J2" t="s">
        <v>16</v>
      </c>
    </row>
    <row r="3" spans="1:10">
      <c r="A3">
        <v>2019</v>
      </c>
      <c r="B3" t="s">
        <v>17</v>
      </c>
      <c r="C3" s="3">
        <v>640</v>
      </c>
      <c r="D3" t="s">
        <v>11</v>
      </c>
      <c r="E3" t="s">
        <v>12</v>
      </c>
      <c r="F3">
        <v>145</v>
      </c>
      <c r="G3" t="s">
        <v>13</v>
      </c>
      <c r="H3" s="9" t="s">
        <v>14</v>
      </c>
      <c r="I3" s="9" t="s">
        <v>15</v>
      </c>
      <c r="J3" t="s">
        <v>16</v>
      </c>
    </row>
    <row r="4" spans="1:10">
      <c r="A4">
        <v>2019</v>
      </c>
      <c r="B4" t="s">
        <v>18</v>
      </c>
      <c r="C4" s="3">
        <v>51849</v>
      </c>
      <c r="D4" t="s">
        <v>11</v>
      </c>
      <c r="E4" t="s">
        <v>12</v>
      </c>
      <c r="F4">
        <v>145</v>
      </c>
      <c r="G4" t="s">
        <v>13</v>
      </c>
      <c r="H4" s="9" t="s">
        <v>14</v>
      </c>
      <c r="I4" s="9" t="s">
        <v>15</v>
      </c>
      <c r="J4" t="s">
        <v>16</v>
      </c>
    </row>
    <row r="5" spans="1:10">
      <c r="A5">
        <v>2019</v>
      </c>
      <c r="B5" t="s">
        <v>19</v>
      </c>
      <c r="C5" s="3">
        <v>494</v>
      </c>
      <c r="D5" t="s">
        <v>11</v>
      </c>
      <c r="E5" t="s">
        <v>12</v>
      </c>
      <c r="F5">
        <v>145</v>
      </c>
      <c r="G5" t="s">
        <v>13</v>
      </c>
      <c r="H5" s="9" t="s">
        <v>14</v>
      </c>
      <c r="I5" s="9" t="s">
        <v>15</v>
      </c>
      <c r="J5" t="s">
        <v>16</v>
      </c>
    </row>
    <row r="6" spans="1:10">
      <c r="A6">
        <v>2019</v>
      </c>
      <c r="B6" t="s">
        <v>20</v>
      </c>
      <c r="C6" s="3">
        <v>689</v>
      </c>
      <c r="D6" t="s">
        <v>11</v>
      </c>
      <c r="E6" t="s">
        <v>12</v>
      </c>
      <c r="F6">
        <v>145</v>
      </c>
      <c r="G6" t="s">
        <v>13</v>
      </c>
      <c r="H6" s="9" t="s">
        <v>14</v>
      </c>
      <c r="I6" s="9" t="s">
        <v>15</v>
      </c>
      <c r="J6" t="s">
        <v>16</v>
      </c>
    </row>
    <row r="7" spans="1:10">
      <c r="A7">
        <v>2019</v>
      </c>
      <c r="B7" t="s">
        <v>21</v>
      </c>
      <c r="C7" s="3">
        <v>23469</v>
      </c>
      <c r="D7" t="s">
        <v>11</v>
      </c>
      <c r="E7" t="s">
        <v>12</v>
      </c>
      <c r="F7">
        <v>145</v>
      </c>
      <c r="G7" t="s">
        <v>13</v>
      </c>
      <c r="H7" s="9" t="s">
        <v>14</v>
      </c>
      <c r="I7" s="9" t="s">
        <v>15</v>
      </c>
      <c r="J7" t="s">
        <v>16</v>
      </c>
    </row>
    <row r="8" spans="1:10">
      <c r="A8">
        <v>2019</v>
      </c>
      <c r="B8" t="s">
        <v>22</v>
      </c>
      <c r="C8" s="3">
        <v>4619</v>
      </c>
      <c r="D8" t="s">
        <v>11</v>
      </c>
      <c r="E8" t="s">
        <v>12</v>
      </c>
      <c r="F8">
        <v>145</v>
      </c>
      <c r="G8" t="s">
        <v>13</v>
      </c>
      <c r="H8" s="9" t="s">
        <v>14</v>
      </c>
      <c r="I8" s="9" t="s">
        <v>15</v>
      </c>
      <c r="J8" t="s">
        <v>16</v>
      </c>
    </row>
    <row r="9" spans="1:10">
      <c r="A9">
        <v>2019</v>
      </c>
      <c r="B9" t="s">
        <v>23</v>
      </c>
      <c r="C9" s="3">
        <v>4619</v>
      </c>
      <c r="D9" t="s">
        <v>11</v>
      </c>
      <c r="E9" t="s">
        <v>12</v>
      </c>
      <c r="F9">
        <v>145</v>
      </c>
      <c r="G9" t="s">
        <v>13</v>
      </c>
      <c r="H9" s="9" t="s">
        <v>14</v>
      </c>
      <c r="I9" s="9" t="s">
        <v>15</v>
      </c>
      <c r="J9" t="s">
        <v>16</v>
      </c>
    </row>
    <row r="10" spans="1:10">
      <c r="A10">
        <v>2019</v>
      </c>
      <c r="B10" t="s">
        <v>24</v>
      </c>
      <c r="C10" s="3">
        <v>2273</v>
      </c>
      <c r="D10" t="s">
        <v>11</v>
      </c>
      <c r="E10" t="s">
        <v>12</v>
      </c>
      <c r="F10">
        <v>145</v>
      </c>
      <c r="G10" t="s">
        <v>13</v>
      </c>
      <c r="H10" s="9" t="s">
        <v>14</v>
      </c>
      <c r="I10" s="9" t="s">
        <v>15</v>
      </c>
      <c r="J10" t="s">
        <v>16</v>
      </c>
    </row>
    <row r="11" spans="1:10">
      <c r="A11">
        <v>2019</v>
      </c>
      <c r="B11" t="s">
        <v>25</v>
      </c>
      <c r="C11" s="3">
        <v>6558</v>
      </c>
      <c r="D11" t="s">
        <v>11</v>
      </c>
      <c r="E11" t="s">
        <v>12</v>
      </c>
      <c r="F11">
        <v>145</v>
      </c>
      <c r="G11" t="s">
        <v>13</v>
      </c>
      <c r="H11" s="9" t="s">
        <v>14</v>
      </c>
      <c r="I11" s="9" t="s">
        <v>15</v>
      </c>
      <c r="J11" t="s">
        <v>16</v>
      </c>
    </row>
    <row r="12" spans="1:10">
      <c r="A12">
        <v>2019</v>
      </c>
      <c r="B12" t="s">
        <v>26</v>
      </c>
      <c r="C12" s="3">
        <v>137</v>
      </c>
      <c r="D12" t="s">
        <v>11</v>
      </c>
      <c r="E12" t="s">
        <v>12</v>
      </c>
      <c r="F12">
        <v>145</v>
      </c>
      <c r="G12" t="s">
        <v>13</v>
      </c>
      <c r="H12" s="9" t="s">
        <v>14</v>
      </c>
      <c r="I12" s="9" t="s">
        <v>15</v>
      </c>
      <c r="J12" t="s">
        <v>16</v>
      </c>
    </row>
    <row r="13" spans="1:10">
      <c r="A13">
        <v>2019</v>
      </c>
      <c r="B13" t="s">
        <v>27</v>
      </c>
      <c r="C13" s="3">
        <v>25943</v>
      </c>
      <c r="D13" t="s">
        <v>11</v>
      </c>
      <c r="E13" t="s">
        <v>12</v>
      </c>
      <c r="F13">
        <v>145</v>
      </c>
      <c r="G13" t="s">
        <v>13</v>
      </c>
      <c r="H13" s="9" t="s">
        <v>14</v>
      </c>
      <c r="I13" s="9" t="s">
        <v>15</v>
      </c>
      <c r="J13" t="s">
        <v>16</v>
      </c>
    </row>
    <row r="14" spans="1:10">
      <c r="A14">
        <v>2019</v>
      </c>
      <c r="B14" t="s">
        <v>28</v>
      </c>
      <c r="C14" s="3">
        <v>425</v>
      </c>
      <c r="D14" t="s">
        <v>11</v>
      </c>
      <c r="E14" t="s">
        <v>12</v>
      </c>
      <c r="F14">
        <v>145</v>
      </c>
      <c r="G14" t="s">
        <v>13</v>
      </c>
      <c r="H14" s="9" t="s">
        <v>14</v>
      </c>
      <c r="I14" s="9" t="s">
        <v>15</v>
      </c>
      <c r="J14" t="s">
        <v>16</v>
      </c>
    </row>
    <row r="15" spans="1:10">
      <c r="A15">
        <v>2019</v>
      </c>
      <c r="B15" t="s">
        <v>29</v>
      </c>
      <c r="C15" s="3">
        <v>65281</v>
      </c>
      <c r="D15" t="s">
        <v>11</v>
      </c>
      <c r="E15" t="s">
        <v>12</v>
      </c>
      <c r="F15">
        <v>145</v>
      </c>
      <c r="G15" t="s">
        <v>13</v>
      </c>
      <c r="H15" s="9" t="s">
        <v>14</v>
      </c>
      <c r="I15" s="9" t="s">
        <v>15</v>
      </c>
      <c r="J15" t="s">
        <v>16</v>
      </c>
    </row>
    <row r="16" spans="1:10">
      <c r="A16">
        <v>2019</v>
      </c>
      <c r="B16" t="s">
        <v>30</v>
      </c>
      <c r="C16" s="3">
        <v>68134</v>
      </c>
      <c r="D16" t="s">
        <v>11</v>
      </c>
      <c r="E16" t="s">
        <v>12</v>
      </c>
      <c r="F16">
        <v>145</v>
      </c>
      <c r="G16" t="s">
        <v>13</v>
      </c>
      <c r="H16" s="9" t="s">
        <v>14</v>
      </c>
      <c r="I16" s="9" t="s">
        <v>15</v>
      </c>
      <c r="J16" t="s">
        <v>16</v>
      </c>
    </row>
    <row r="17" spans="1:10">
      <c r="A17">
        <v>2019</v>
      </c>
      <c r="B17" t="s">
        <v>31</v>
      </c>
      <c r="C17" s="3">
        <v>3961</v>
      </c>
      <c r="D17" t="s">
        <v>11</v>
      </c>
      <c r="E17" t="s">
        <v>12</v>
      </c>
      <c r="F17">
        <v>145</v>
      </c>
      <c r="G17" t="s">
        <v>13</v>
      </c>
      <c r="H17" s="9" t="s">
        <v>14</v>
      </c>
      <c r="I17" s="9" t="s">
        <v>15</v>
      </c>
      <c r="J17" t="s">
        <v>16</v>
      </c>
    </row>
    <row r="18" spans="1:10">
      <c r="A18">
        <v>2019</v>
      </c>
      <c r="B18" t="s">
        <v>32</v>
      </c>
      <c r="C18" s="3">
        <v>51836</v>
      </c>
      <c r="D18" t="s">
        <v>11</v>
      </c>
      <c r="E18" t="s">
        <v>12</v>
      </c>
      <c r="F18">
        <v>180</v>
      </c>
      <c r="G18" t="s">
        <v>13</v>
      </c>
      <c r="H18" s="9" t="s">
        <v>14</v>
      </c>
      <c r="I18" s="9" t="s">
        <v>15</v>
      </c>
      <c r="J18" t="s">
        <v>16</v>
      </c>
    </row>
    <row r="19" spans="1:10">
      <c r="A19">
        <v>2019</v>
      </c>
      <c r="B19" t="s">
        <v>33</v>
      </c>
      <c r="C19" s="3">
        <v>14604</v>
      </c>
      <c r="D19" t="s">
        <v>11</v>
      </c>
      <c r="E19" t="s">
        <v>12</v>
      </c>
      <c r="F19">
        <v>145</v>
      </c>
      <c r="G19" t="s">
        <v>13</v>
      </c>
      <c r="H19" s="9" t="s">
        <v>14</v>
      </c>
      <c r="I19" s="9" t="s">
        <v>15</v>
      </c>
      <c r="J19" t="s">
        <v>16</v>
      </c>
    </row>
    <row r="20" spans="1:10">
      <c r="A20">
        <v>2019</v>
      </c>
      <c r="B20" t="s">
        <v>34</v>
      </c>
      <c r="C20" s="3">
        <v>330</v>
      </c>
      <c r="D20" t="s">
        <v>11</v>
      </c>
      <c r="E20" t="s">
        <v>12</v>
      </c>
      <c r="F20">
        <v>145</v>
      </c>
      <c r="G20" t="s">
        <v>13</v>
      </c>
      <c r="H20" s="9" t="s">
        <v>14</v>
      </c>
      <c r="I20" s="9" t="s">
        <v>15</v>
      </c>
      <c r="J20" t="s">
        <v>16</v>
      </c>
    </row>
    <row r="21" spans="1:10">
      <c r="A21">
        <v>2019</v>
      </c>
      <c r="B21" t="s">
        <v>35</v>
      </c>
      <c r="C21" s="3">
        <v>43801</v>
      </c>
      <c r="D21" t="s">
        <v>11</v>
      </c>
      <c r="E21" t="s">
        <v>12</v>
      </c>
      <c r="F21">
        <v>180</v>
      </c>
      <c r="G21" t="s">
        <v>13</v>
      </c>
      <c r="H21" s="9" t="s">
        <v>14</v>
      </c>
      <c r="I21" s="9" t="s">
        <v>15</v>
      </c>
      <c r="J21" t="s">
        <v>16</v>
      </c>
    </row>
    <row r="22" spans="1:10">
      <c r="A22">
        <v>2019</v>
      </c>
      <c r="B22" t="s">
        <v>36</v>
      </c>
      <c r="C22" s="3">
        <v>13915</v>
      </c>
      <c r="D22" t="s">
        <v>37</v>
      </c>
      <c r="E22" t="s">
        <v>12</v>
      </c>
      <c r="F22">
        <v>145</v>
      </c>
      <c r="G22" t="s">
        <v>13</v>
      </c>
      <c r="H22" s="9" t="s">
        <v>14</v>
      </c>
      <c r="I22" s="9" t="s">
        <v>15</v>
      </c>
      <c r="J22" t="s">
        <v>16</v>
      </c>
    </row>
    <row r="23" spans="1:10">
      <c r="A23">
        <v>2019</v>
      </c>
      <c r="B23" t="s">
        <v>38</v>
      </c>
      <c r="C23" s="3">
        <v>3110</v>
      </c>
      <c r="D23" t="s">
        <v>11</v>
      </c>
      <c r="E23" t="s">
        <v>12</v>
      </c>
      <c r="F23">
        <v>145</v>
      </c>
      <c r="G23" t="s">
        <v>13</v>
      </c>
      <c r="H23" s="9" t="s">
        <v>14</v>
      </c>
      <c r="I23" s="9" t="s">
        <v>15</v>
      </c>
      <c r="J23" t="s">
        <v>16</v>
      </c>
    </row>
    <row r="24" spans="1:10">
      <c r="A24">
        <v>2019</v>
      </c>
      <c r="B24" t="s">
        <v>39</v>
      </c>
      <c r="C24" s="3">
        <v>3419</v>
      </c>
      <c r="D24" t="s">
        <v>11</v>
      </c>
      <c r="E24" t="s">
        <v>12</v>
      </c>
      <c r="F24">
        <v>145</v>
      </c>
      <c r="G24" t="s">
        <v>13</v>
      </c>
      <c r="H24" s="9" t="s">
        <v>14</v>
      </c>
      <c r="I24" s="9" t="s">
        <v>15</v>
      </c>
      <c r="J24" t="s">
        <v>16</v>
      </c>
    </row>
    <row r="25" spans="1:10">
      <c r="A25">
        <v>2019</v>
      </c>
      <c r="B25" t="s">
        <v>40</v>
      </c>
      <c r="C25" s="3">
        <v>6049</v>
      </c>
      <c r="D25" t="s">
        <v>11</v>
      </c>
      <c r="E25" t="s">
        <v>12</v>
      </c>
      <c r="F25">
        <v>145</v>
      </c>
      <c r="G25" t="s">
        <v>13</v>
      </c>
      <c r="H25" s="9" t="s">
        <v>14</v>
      </c>
      <c r="I25" s="9" t="s">
        <v>15</v>
      </c>
      <c r="J25" t="s">
        <v>16</v>
      </c>
    </row>
    <row r="26" spans="1:10">
      <c r="A26">
        <v>2019</v>
      </c>
      <c r="B26" t="s">
        <v>41</v>
      </c>
      <c r="C26" s="3">
        <v>7909</v>
      </c>
      <c r="D26" t="s">
        <v>11</v>
      </c>
      <c r="E26" t="s">
        <v>12</v>
      </c>
      <c r="F26">
        <v>145</v>
      </c>
      <c r="G26" t="s">
        <v>13</v>
      </c>
      <c r="H26" s="9" t="s">
        <v>14</v>
      </c>
      <c r="I26" s="9" t="s">
        <v>15</v>
      </c>
      <c r="J26" t="s">
        <v>16</v>
      </c>
    </row>
    <row r="27" spans="1:10">
      <c r="A27">
        <v>2019</v>
      </c>
      <c r="B27" t="s">
        <v>42</v>
      </c>
      <c r="C27" s="3">
        <v>963</v>
      </c>
      <c r="D27" t="s">
        <v>11</v>
      </c>
      <c r="E27" t="s">
        <v>12</v>
      </c>
      <c r="F27">
        <v>145</v>
      </c>
      <c r="G27" t="s">
        <v>13</v>
      </c>
      <c r="H27" s="9" t="s">
        <v>14</v>
      </c>
      <c r="I27" s="9" t="s">
        <v>15</v>
      </c>
      <c r="J27" t="s">
        <v>16</v>
      </c>
    </row>
    <row r="28" spans="1:10">
      <c r="A28">
        <v>2019</v>
      </c>
      <c r="B28" t="s">
        <v>43</v>
      </c>
      <c r="C28" s="3">
        <v>363</v>
      </c>
      <c r="D28" t="s">
        <v>11</v>
      </c>
      <c r="E28" t="s">
        <v>12</v>
      </c>
      <c r="F28">
        <v>145</v>
      </c>
      <c r="G28" t="s">
        <v>13</v>
      </c>
      <c r="H28" s="9" t="s">
        <v>14</v>
      </c>
      <c r="I28" s="9" t="s">
        <v>15</v>
      </c>
      <c r="J28" t="s">
        <v>16</v>
      </c>
    </row>
    <row r="29" spans="1:10">
      <c r="A29">
        <v>2019</v>
      </c>
      <c r="B29" t="s">
        <v>44</v>
      </c>
      <c r="C29" s="3">
        <v>36977</v>
      </c>
      <c r="D29" t="s">
        <v>11</v>
      </c>
      <c r="E29" t="s">
        <v>12</v>
      </c>
      <c r="F29">
        <v>145</v>
      </c>
      <c r="G29" t="s">
        <v>13</v>
      </c>
      <c r="H29" s="9" t="s">
        <v>14</v>
      </c>
      <c r="I29" s="9" t="s">
        <v>15</v>
      </c>
      <c r="J29" t="s">
        <v>16</v>
      </c>
    </row>
    <row r="30" spans="1:10">
      <c r="A30">
        <v>2019</v>
      </c>
      <c r="B30" t="s">
        <v>45</v>
      </c>
      <c r="C30" s="3">
        <v>4943</v>
      </c>
      <c r="D30" t="s">
        <v>11</v>
      </c>
      <c r="E30" t="s">
        <v>12</v>
      </c>
      <c r="F30">
        <v>145</v>
      </c>
      <c r="G30" t="s">
        <v>13</v>
      </c>
      <c r="H30" s="9" t="s">
        <v>14</v>
      </c>
      <c r="I30" s="9" t="s">
        <v>15</v>
      </c>
      <c r="J30" t="s">
        <v>16</v>
      </c>
    </row>
    <row r="31" spans="1:10">
      <c r="A31">
        <v>2019</v>
      </c>
      <c r="B31" t="s">
        <v>46</v>
      </c>
      <c r="C31" s="3">
        <v>110122</v>
      </c>
      <c r="D31" t="s">
        <v>11</v>
      </c>
      <c r="E31" t="s">
        <v>12</v>
      </c>
      <c r="F31">
        <v>145</v>
      </c>
      <c r="G31" t="s">
        <v>13</v>
      </c>
      <c r="H31" s="9" t="s">
        <v>14</v>
      </c>
      <c r="I31" s="9" t="s">
        <v>15</v>
      </c>
      <c r="J31" t="s">
        <v>16</v>
      </c>
    </row>
    <row r="32" spans="1:10">
      <c r="A32">
        <v>2019</v>
      </c>
      <c r="B32" t="s">
        <v>47</v>
      </c>
      <c r="C32" s="3">
        <v>77884</v>
      </c>
      <c r="D32" t="s">
        <v>11</v>
      </c>
      <c r="E32" t="s">
        <v>12</v>
      </c>
      <c r="F32">
        <v>145</v>
      </c>
      <c r="G32" t="s">
        <v>13</v>
      </c>
      <c r="H32" s="9" t="s">
        <v>14</v>
      </c>
      <c r="I32" s="9" t="s">
        <v>15</v>
      </c>
      <c r="J32" t="s">
        <v>16</v>
      </c>
    </row>
    <row r="33" spans="1:10">
      <c r="A33">
        <v>2019</v>
      </c>
      <c r="B33" t="s">
        <v>48</v>
      </c>
      <c r="C33" s="3">
        <v>84179</v>
      </c>
      <c r="D33" t="s">
        <v>11</v>
      </c>
      <c r="E33" t="s">
        <v>12</v>
      </c>
      <c r="F33">
        <v>145</v>
      </c>
      <c r="G33" t="s">
        <v>13</v>
      </c>
      <c r="H33" s="9" t="s">
        <v>14</v>
      </c>
      <c r="I33" s="9" t="s">
        <v>15</v>
      </c>
      <c r="J33" t="s">
        <v>16</v>
      </c>
    </row>
    <row r="34" spans="1:10">
      <c r="A34">
        <v>2019</v>
      </c>
      <c r="B34" t="s">
        <v>49</v>
      </c>
      <c r="C34" s="3">
        <v>8235</v>
      </c>
      <c r="D34" t="s">
        <v>11</v>
      </c>
      <c r="E34" t="s">
        <v>12</v>
      </c>
      <c r="F34">
        <v>145</v>
      </c>
      <c r="G34" t="s">
        <v>13</v>
      </c>
      <c r="H34" s="9" t="s">
        <v>14</v>
      </c>
      <c r="I34" s="9" t="s">
        <v>15</v>
      </c>
      <c r="J34" t="s">
        <v>16</v>
      </c>
    </row>
    <row r="35" spans="1:10">
      <c r="A35">
        <v>2019</v>
      </c>
      <c r="B35" t="s">
        <v>50</v>
      </c>
      <c r="C35" s="3">
        <v>-35143</v>
      </c>
      <c r="D35" t="s">
        <v>11</v>
      </c>
      <c r="E35" t="s">
        <v>12</v>
      </c>
      <c r="F35">
        <v>145</v>
      </c>
      <c r="G35" t="s">
        <v>13</v>
      </c>
      <c r="H35" s="9" t="s">
        <v>14</v>
      </c>
      <c r="I35" s="9" t="s">
        <v>15</v>
      </c>
      <c r="J35" t="s">
        <v>16</v>
      </c>
    </row>
    <row r="36" spans="1:10">
      <c r="A36">
        <v>2019</v>
      </c>
      <c r="B36" t="s">
        <v>51</v>
      </c>
      <c r="C36" s="3">
        <v>8035</v>
      </c>
      <c r="D36" t="s">
        <v>11</v>
      </c>
      <c r="E36" t="s">
        <v>12</v>
      </c>
      <c r="F36">
        <v>180</v>
      </c>
      <c r="G36" t="s">
        <v>13</v>
      </c>
      <c r="H36" s="9" t="s">
        <v>14</v>
      </c>
      <c r="I36" s="9" t="s">
        <v>15</v>
      </c>
      <c r="J36" t="s">
        <v>16</v>
      </c>
    </row>
    <row r="37" spans="1:10">
      <c r="A37">
        <v>2020</v>
      </c>
      <c r="B37" t="s">
        <v>10</v>
      </c>
      <c r="C37" s="3">
        <v>603</v>
      </c>
      <c r="D37" t="s">
        <v>11</v>
      </c>
      <c r="E37" t="s">
        <v>52</v>
      </c>
      <c r="F37">
        <v>146</v>
      </c>
      <c r="G37" t="s">
        <v>53</v>
      </c>
      <c r="H37" s="9" t="s">
        <v>54</v>
      </c>
      <c r="I37" s="9" t="s">
        <v>55</v>
      </c>
      <c r="J37" t="s">
        <v>56</v>
      </c>
    </row>
    <row r="38" spans="1:10">
      <c r="A38">
        <v>2020</v>
      </c>
      <c r="B38" t="s">
        <v>57</v>
      </c>
      <c r="C38" s="3">
        <v>53</v>
      </c>
      <c r="D38" t="s">
        <v>11</v>
      </c>
      <c r="E38" t="s">
        <v>52</v>
      </c>
      <c r="F38">
        <v>182</v>
      </c>
      <c r="G38" t="s">
        <v>53</v>
      </c>
      <c r="H38" s="9" t="s">
        <v>54</v>
      </c>
      <c r="I38" s="9" t="s">
        <v>55</v>
      </c>
      <c r="J38" t="s">
        <v>56</v>
      </c>
    </row>
    <row r="39" spans="1:10">
      <c r="A39">
        <v>2020</v>
      </c>
      <c r="B39" t="s">
        <v>58</v>
      </c>
      <c r="C39" s="3">
        <v>-43</v>
      </c>
      <c r="D39" t="s">
        <v>11</v>
      </c>
      <c r="E39" t="s">
        <v>59</v>
      </c>
      <c r="F39">
        <v>148</v>
      </c>
      <c r="G39" t="s">
        <v>60</v>
      </c>
      <c r="H39" s="9" t="s">
        <v>61</v>
      </c>
      <c r="I39" s="9" t="s">
        <v>62</v>
      </c>
      <c r="J39" t="s">
        <v>63</v>
      </c>
    </row>
    <row r="40" spans="1:10">
      <c r="A40">
        <v>2020</v>
      </c>
      <c r="B40" t="s">
        <v>17</v>
      </c>
      <c r="C40" s="3">
        <v>2502</v>
      </c>
      <c r="D40" t="s">
        <v>11</v>
      </c>
      <c r="E40" t="s">
        <v>52</v>
      </c>
      <c r="F40">
        <v>146</v>
      </c>
      <c r="G40" t="s">
        <v>53</v>
      </c>
      <c r="H40" s="9" t="s">
        <v>54</v>
      </c>
      <c r="I40" s="9" t="s">
        <v>55</v>
      </c>
      <c r="J40" t="s">
        <v>56</v>
      </c>
    </row>
    <row r="41" spans="1:10">
      <c r="A41">
        <v>2020</v>
      </c>
      <c r="B41" t="s">
        <v>64</v>
      </c>
      <c r="C41" s="3">
        <v>1010</v>
      </c>
      <c r="D41" t="s">
        <v>11</v>
      </c>
      <c r="E41" t="s">
        <v>59</v>
      </c>
      <c r="F41">
        <v>179</v>
      </c>
      <c r="G41" t="s">
        <v>60</v>
      </c>
      <c r="H41" s="9" t="s">
        <v>61</v>
      </c>
      <c r="I41" s="9" t="s">
        <v>62</v>
      </c>
      <c r="J41" t="s">
        <v>63</v>
      </c>
    </row>
    <row r="42" spans="1:10">
      <c r="A42">
        <v>2020</v>
      </c>
      <c r="B42" t="s">
        <v>65</v>
      </c>
      <c r="C42" s="3">
        <v>1001</v>
      </c>
      <c r="D42" t="s">
        <v>11</v>
      </c>
      <c r="E42" t="s">
        <v>59</v>
      </c>
      <c r="F42">
        <v>179</v>
      </c>
      <c r="G42" t="s">
        <v>60</v>
      </c>
      <c r="H42" s="9" t="s">
        <v>61</v>
      </c>
      <c r="I42" s="9" t="s">
        <v>62</v>
      </c>
      <c r="J42" t="s">
        <v>63</v>
      </c>
    </row>
    <row r="43" spans="1:10">
      <c r="A43">
        <v>2020</v>
      </c>
      <c r="B43" t="s">
        <v>18</v>
      </c>
      <c r="C43" s="3">
        <v>54521</v>
      </c>
      <c r="D43" t="s">
        <v>11</v>
      </c>
      <c r="E43" t="s">
        <v>52</v>
      </c>
      <c r="F43">
        <v>146</v>
      </c>
      <c r="G43" t="s">
        <v>53</v>
      </c>
      <c r="H43" s="9" t="s">
        <v>54</v>
      </c>
      <c r="I43" s="9" t="s">
        <v>55</v>
      </c>
      <c r="J43" t="s">
        <v>56</v>
      </c>
    </row>
    <row r="44" spans="1:10">
      <c r="A44">
        <v>2020</v>
      </c>
      <c r="B44" t="s">
        <v>19</v>
      </c>
      <c r="C44" s="3">
        <v>721</v>
      </c>
      <c r="D44" t="s">
        <v>11</v>
      </c>
      <c r="E44" t="s">
        <v>52</v>
      </c>
      <c r="F44">
        <v>146</v>
      </c>
      <c r="G44" t="s">
        <v>53</v>
      </c>
      <c r="H44" s="9" t="s">
        <v>54</v>
      </c>
      <c r="I44" s="9" t="s">
        <v>55</v>
      </c>
      <c r="J44" t="s">
        <v>56</v>
      </c>
    </row>
    <row r="45" spans="1:10">
      <c r="A45">
        <v>2020</v>
      </c>
      <c r="B45" t="s">
        <v>66</v>
      </c>
      <c r="C45" s="3">
        <v>227</v>
      </c>
      <c r="D45" t="s">
        <v>11</v>
      </c>
      <c r="E45" t="s">
        <v>59</v>
      </c>
      <c r="F45">
        <v>149</v>
      </c>
      <c r="G45" t="s">
        <v>60</v>
      </c>
      <c r="H45" s="9" t="s">
        <v>61</v>
      </c>
      <c r="I45" s="9" t="s">
        <v>62</v>
      </c>
      <c r="J45" t="s">
        <v>63</v>
      </c>
    </row>
    <row r="46" spans="1:10">
      <c r="A46">
        <v>2020</v>
      </c>
      <c r="B46" t="s">
        <v>67</v>
      </c>
      <c r="C46" s="3">
        <v>721</v>
      </c>
      <c r="D46" t="s">
        <v>11</v>
      </c>
      <c r="E46" t="s">
        <v>59</v>
      </c>
      <c r="F46">
        <v>149</v>
      </c>
      <c r="G46" t="s">
        <v>60</v>
      </c>
      <c r="H46" s="9" t="s">
        <v>61</v>
      </c>
      <c r="I46" s="9" t="s">
        <v>62</v>
      </c>
      <c r="J46" t="s">
        <v>63</v>
      </c>
    </row>
    <row r="47" spans="1:10">
      <c r="A47">
        <v>2020</v>
      </c>
      <c r="B47" t="s">
        <v>68</v>
      </c>
      <c r="C47" s="3">
        <v>2697</v>
      </c>
      <c r="D47" t="s">
        <v>11</v>
      </c>
      <c r="E47" t="s">
        <v>59</v>
      </c>
      <c r="F47">
        <v>149</v>
      </c>
      <c r="G47" t="s">
        <v>60</v>
      </c>
      <c r="H47" s="9" t="s">
        <v>61</v>
      </c>
      <c r="I47" s="9" t="s">
        <v>62</v>
      </c>
      <c r="J47" t="s">
        <v>63</v>
      </c>
    </row>
    <row r="48" spans="1:10">
      <c r="A48">
        <v>2020</v>
      </c>
      <c r="B48" t="s">
        <v>69</v>
      </c>
      <c r="C48" s="3">
        <v>494</v>
      </c>
      <c r="D48" t="s">
        <v>11</v>
      </c>
      <c r="E48" t="s">
        <v>59</v>
      </c>
      <c r="F48">
        <v>149</v>
      </c>
      <c r="G48" t="s">
        <v>60</v>
      </c>
      <c r="H48" s="9" t="s">
        <v>61</v>
      </c>
      <c r="I48" s="9" t="s">
        <v>62</v>
      </c>
      <c r="J48" t="s">
        <v>63</v>
      </c>
    </row>
    <row r="49" spans="1:10">
      <c r="A49">
        <v>2020</v>
      </c>
      <c r="B49" t="s">
        <v>70</v>
      </c>
      <c r="C49" s="3">
        <v>16</v>
      </c>
      <c r="D49" t="s">
        <v>11</v>
      </c>
      <c r="E49" t="s">
        <v>59</v>
      </c>
      <c r="F49">
        <v>149</v>
      </c>
      <c r="G49" t="s">
        <v>60</v>
      </c>
      <c r="H49" s="9" t="s">
        <v>61</v>
      </c>
      <c r="I49" s="9" t="s">
        <v>62</v>
      </c>
      <c r="J49" t="s">
        <v>63</v>
      </c>
    </row>
    <row r="50" spans="1:10">
      <c r="A50">
        <v>2020</v>
      </c>
      <c r="B50" t="s">
        <v>71</v>
      </c>
      <c r="C50" s="3">
        <v>578</v>
      </c>
      <c r="D50" t="s">
        <v>11</v>
      </c>
      <c r="E50" t="s">
        <v>59</v>
      </c>
      <c r="F50">
        <v>149</v>
      </c>
      <c r="G50" t="s">
        <v>60</v>
      </c>
      <c r="H50" s="9" t="s">
        <v>61</v>
      </c>
      <c r="I50" s="9" t="s">
        <v>62</v>
      </c>
      <c r="J50" t="s">
        <v>63</v>
      </c>
    </row>
    <row r="51" spans="1:10">
      <c r="A51">
        <v>2020</v>
      </c>
      <c r="B51" t="s">
        <v>72</v>
      </c>
      <c r="C51" s="3">
        <v>1944</v>
      </c>
      <c r="D51" t="s">
        <v>11</v>
      </c>
      <c r="E51" t="s">
        <v>59</v>
      </c>
      <c r="F51">
        <v>179</v>
      </c>
      <c r="G51" t="s">
        <v>60</v>
      </c>
      <c r="H51" s="9" t="s">
        <v>61</v>
      </c>
      <c r="I51" s="9" t="s">
        <v>62</v>
      </c>
      <c r="J51" t="s">
        <v>63</v>
      </c>
    </row>
    <row r="52" spans="1:10">
      <c r="A52">
        <v>2020</v>
      </c>
      <c r="B52" t="s">
        <v>20</v>
      </c>
      <c r="C52" s="3">
        <v>772</v>
      </c>
      <c r="D52" t="s">
        <v>11</v>
      </c>
      <c r="E52" t="s">
        <v>73</v>
      </c>
      <c r="F52">
        <v>148</v>
      </c>
      <c r="G52" t="s">
        <v>74</v>
      </c>
      <c r="H52" s="9" t="s">
        <v>75</v>
      </c>
      <c r="I52" s="9" t="s">
        <v>76</v>
      </c>
      <c r="J52" t="s">
        <v>77</v>
      </c>
    </row>
    <row r="53" spans="1:10">
      <c r="A53">
        <v>2020</v>
      </c>
      <c r="B53" t="s">
        <v>78</v>
      </c>
      <c r="C53" s="3">
        <v>2031</v>
      </c>
      <c r="D53" t="s">
        <v>11</v>
      </c>
      <c r="E53" t="s">
        <v>59</v>
      </c>
      <c r="F53">
        <v>179</v>
      </c>
      <c r="G53" t="s">
        <v>60</v>
      </c>
      <c r="H53" s="9" t="s">
        <v>61</v>
      </c>
      <c r="I53" s="9" t="s">
        <v>62</v>
      </c>
      <c r="J53" t="s">
        <v>63</v>
      </c>
    </row>
    <row r="54" spans="1:10">
      <c r="A54">
        <v>2020</v>
      </c>
      <c r="B54" t="s">
        <v>79</v>
      </c>
      <c r="C54" s="3">
        <v>-1416</v>
      </c>
      <c r="D54" t="s">
        <v>11</v>
      </c>
      <c r="E54" t="s">
        <v>59</v>
      </c>
      <c r="F54">
        <v>149</v>
      </c>
      <c r="G54" t="s">
        <v>60</v>
      </c>
      <c r="H54" s="9" t="s">
        <v>61</v>
      </c>
      <c r="I54" s="9" t="s">
        <v>62</v>
      </c>
      <c r="J54" t="s">
        <v>63</v>
      </c>
    </row>
    <row r="55" spans="1:10">
      <c r="A55">
        <v>2020</v>
      </c>
      <c r="B55" t="s">
        <v>80</v>
      </c>
      <c r="C55" s="3">
        <v>-4892</v>
      </c>
      <c r="D55" t="s">
        <v>11</v>
      </c>
      <c r="E55" t="s">
        <v>59</v>
      </c>
      <c r="F55">
        <v>149</v>
      </c>
      <c r="G55" t="s">
        <v>60</v>
      </c>
      <c r="H55" s="9" t="s">
        <v>61</v>
      </c>
      <c r="I55" s="9" t="s">
        <v>62</v>
      </c>
      <c r="J55" t="s">
        <v>63</v>
      </c>
    </row>
    <row r="56" spans="1:10">
      <c r="A56">
        <v>2020</v>
      </c>
      <c r="B56" t="s">
        <v>81</v>
      </c>
      <c r="C56" s="3">
        <v>6519</v>
      </c>
      <c r="D56" t="s">
        <v>11</v>
      </c>
      <c r="E56" t="s">
        <v>59</v>
      </c>
      <c r="F56">
        <v>149</v>
      </c>
      <c r="G56" t="s">
        <v>60</v>
      </c>
      <c r="H56" s="9" t="s">
        <v>61</v>
      </c>
      <c r="I56" s="9" t="s">
        <v>62</v>
      </c>
      <c r="J56" t="s">
        <v>63</v>
      </c>
    </row>
    <row r="57" spans="1:10">
      <c r="A57">
        <v>2020</v>
      </c>
      <c r="B57" t="s">
        <v>82</v>
      </c>
      <c r="C57" s="3">
        <v>19123</v>
      </c>
      <c r="D57" t="s">
        <v>11</v>
      </c>
      <c r="E57" t="s">
        <v>59</v>
      </c>
      <c r="F57">
        <v>145</v>
      </c>
      <c r="G57" t="s">
        <v>60</v>
      </c>
      <c r="H57" s="9" t="s">
        <v>61</v>
      </c>
      <c r="I57" s="9" t="s">
        <v>62</v>
      </c>
      <c r="J57" t="s">
        <v>63</v>
      </c>
    </row>
    <row r="58" spans="1:10">
      <c r="A58">
        <v>2020</v>
      </c>
      <c r="B58" t="s">
        <v>83</v>
      </c>
      <c r="C58" s="3">
        <v>2502</v>
      </c>
      <c r="D58" t="s">
        <v>11</v>
      </c>
      <c r="E58" t="s">
        <v>59</v>
      </c>
      <c r="F58">
        <v>148</v>
      </c>
      <c r="G58" t="s">
        <v>60</v>
      </c>
      <c r="H58" s="9" t="s">
        <v>61</v>
      </c>
      <c r="I58" s="9" t="s">
        <v>62</v>
      </c>
      <c r="J58" t="s">
        <v>63</v>
      </c>
    </row>
    <row r="59" spans="1:10">
      <c r="A59">
        <v>2020</v>
      </c>
      <c r="B59" t="s">
        <v>84</v>
      </c>
      <c r="C59" s="3">
        <v>29201</v>
      </c>
      <c r="D59" t="s">
        <v>11</v>
      </c>
      <c r="E59" t="s">
        <v>59</v>
      </c>
      <c r="F59">
        <v>148</v>
      </c>
      <c r="G59" t="s">
        <v>60</v>
      </c>
      <c r="H59" s="9" t="s">
        <v>61</v>
      </c>
      <c r="I59" s="9" t="s">
        <v>62</v>
      </c>
      <c r="J59" t="s">
        <v>63</v>
      </c>
    </row>
    <row r="60" spans="1:10">
      <c r="A60">
        <v>2020</v>
      </c>
      <c r="B60" t="s">
        <v>85</v>
      </c>
      <c r="C60" s="3">
        <v>252.4</v>
      </c>
      <c r="D60" t="s">
        <v>11</v>
      </c>
      <c r="E60" t="s">
        <v>59</v>
      </c>
      <c r="F60">
        <v>148</v>
      </c>
      <c r="G60" t="s">
        <v>60</v>
      </c>
      <c r="H60" s="9" t="s">
        <v>61</v>
      </c>
      <c r="I60" s="9" t="s">
        <v>62</v>
      </c>
      <c r="J60" t="s">
        <v>63</v>
      </c>
    </row>
    <row r="61" spans="1:10">
      <c r="A61">
        <v>2020</v>
      </c>
      <c r="B61" t="s">
        <v>21</v>
      </c>
      <c r="C61" s="3">
        <v>23743</v>
      </c>
      <c r="D61" t="s">
        <v>11</v>
      </c>
      <c r="E61" t="s">
        <v>52</v>
      </c>
      <c r="F61">
        <v>146</v>
      </c>
      <c r="G61" t="s">
        <v>53</v>
      </c>
      <c r="H61" s="9" t="s">
        <v>54</v>
      </c>
      <c r="I61" s="9" t="s">
        <v>55</v>
      </c>
      <c r="J61" t="s">
        <v>56</v>
      </c>
    </row>
    <row r="62" spans="1:10">
      <c r="A62">
        <v>2020</v>
      </c>
      <c r="B62" t="s">
        <v>22</v>
      </c>
      <c r="C62" s="3">
        <v>4261</v>
      </c>
      <c r="D62" t="s">
        <v>11</v>
      </c>
      <c r="E62" t="s">
        <v>52</v>
      </c>
      <c r="F62">
        <v>146</v>
      </c>
      <c r="G62" t="s">
        <v>53</v>
      </c>
      <c r="H62" s="9" t="s">
        <v>54</v>
      </c>
      <c r="I62" s="9" t="s">
        <v>55</v>
      </c>
      <c r="J62" t="s">
        <v>56</v>
      </c>
    </row>
    <row r="63" spans="1:10">
      <c r="A63">
        <v>2020</v>
      </c>
      <c r="B63" t="s">
        <v>23</v>
      </c>
      <c r="C63" s="3">
        <v>4242</v>
      </c>
      <c r="D63" t="s">
        <v>11</v>
      </c>
      <c r="E63" t="s">
        <v>52</v>
      </c>
      <c r="F63">
        <v>146</v>
      </c>
      <c r="G63" t="s">
        <v>53</v>
      </c>
      <c r="H63" s="9" t="s">
        <v>54</v>
      </c>
      <c r="I63" s="9" t="s">
        <v>55</v>
      </c>
      <c r="J63" t="s">
        <v>56</v>
      </c>
    </row>
    <row r="64" spans="1:10">
      <c r="A64">
        <v>2020</v>
      </c>
      <c r="B64" t="s">
        <v>86</v>
      </c>
      <c r="C64" s="3">
        <v>19285</v>
      </c>
      <c r="D64" t="s">
        <v>11</v>
      </c>
      <c r="E64" t="s">
        <v>52</v>
      </c>
      <c r="F64">
        <v>182</v>
      </c>
      <c r="G64" t="s">
        <v>53</v>
      </c>
      <c r="H64" s="9" t="s">
        <v>54</v>
      </c>
      <c r="I64" s="9" t="s">
        <v>55</v>
      </c>
      <c r="J64" t="s">
        <v>56</v>
      </c>
    </row>
    <row r="65" spans="1:10">
      <c r="A65">
        <v>2020</v>
      </c>
      <c r="B65" t="s">
        <v>24</v>
      </c>
      <c r="C65" s="3">
        <v>2358</v>
      </c>
      <c r="D65" t="s">
        <v>11</v>
      </c>
      <c r="E65" t="s">
        <v>52</v>
      </c>
      <c r="F65">
        <v>146</v>
      </c>
      <c r="G65" t="s">
        <v>53</v>
      </c>
      <c r="H65" s="9" t="s">
        <v>54</v>
      </c>
      <c r="I65" s="9" t="s">
        <v>55</v>
      </c>
      <c r="J65" t="s">
        <v>56</v>
      </c>
    </row>
    <row r="66" spans="1:10">
      <c r="A66">
        <v>2020</v>
      </c>
      <c r="B66" t="s">
        <v>87</v>
      </c>
      <c r="C66" s="3">
        <v>4773</v>
      </c>
      <c r="D66" t="s">
        <v>11</v>
      </c>
      <c r="E66" t="s">
        <v>59</v>
      </c>
      <c r="F66">
        <v>145</v>
      </c>
      <c r="G66" t="s">
        <v>60</v>
      </c>
      <c r="H66" s="9" t="s">
        <v>61</v>
      </c>
      <c r="I66" s="9" t="s">
        <v>62</v>
      </c>
      <c r="J66" t="s">
        <v>63</v>
      </c>
    </row>
    <row r="67" spans="1:10">
      <c r="A67">
        <v>2020</v>
      </c>
      <c r="B67" t="s">
        <v>88</v>
      </c>
      <c r="C67" s="3">
        <v>4854</v>
      </c>
      <c r="D67" t="s">
        <v>11</v>
      </c>
      <c r="E67" t="s">
        <v>59</v>
      </c>
      <c r="F67">
        <v>149</v>
      </c>
      <c r="G67" t="s">
        <v>60</v>
      </c>
      <c r="H67" s="9" t="s">
        <v>61</v>
      </c>
      <c r="I67" s="9" t="s">
        <v>62</v>
      </c>
      <c r="J67" t="s">
        <v>63</v>
      </c>
    </row>
    <row r="68" spans="1:10">
      <c r="A68">
        <v>2020</v>
      </c>
      <c r="B68" t="s">
        <v>25</v>
      </c>
      <c r="C68" s="3">
        <v>6550</v>
      </c>
      <c r="D68" t="s">
        <v>11</v>
      </c>
      <c r="E68" t="s">
        <v>52</v>
      </c>
      <c r="F68">
        <v>146</v>
      </c>
      <c r="G68" t="s">
        <v>53</v>
      </c>
      <c r="H68" s="9" t="s">
        <v>54</v>
      </c>
      <c r="I68" s="9" t="s">
        <v>55</v>
      </c>
      <c r="J68" t="s">
        <v>56</v>
      </c>
    </row>
    <row r="69" spans="1:10">
      <c r="A69">
        <v>2020</v>
      </c>
      <c r="B69" t="s">
        <v>89</v>
      </c>
      <c r="C69" s="3">
        <v>490</v>
      </c>
      <c r="D69" t="s">
        <v>11</v>
      </c>
      <c r="E69" t="s">
        <v>59</v>
      </c>
      <c r="F69">
        <v>149</v>
      </c>
      <c r="G69" t="s">
        <v>60</v>
      </c>
      <c r="H69" s="9" t="s">
        <v>61</v>
      </c>
      <c r="I69" s="9" t="s">
        <v>62</v>
      </c>
      <c r="J69" t="s">
        <v>63</v>
      </c>
    </row>
    <row r="70" spans="1:10">
      <c r="A70">
        <v>2020</v>
      </c>
      <c r="B70" t="s">
        <v>90</v>
      </c>
      <c r="C70" s="3">
        <v>500</v>
      </c>
      <c r="D70" t="s">
        <v>11</v>
      </c>
      <c r="E70" t="s">
        <v>59</v>
      </c>
      <c r="F70">
        <v>149</v>
      </c>
      <c r="G70" t="s">
        <v>60</v>
      </c>
      <c r="H70" s="9" t="s">
        <v>61</v>
      </c>
      <c r="I70" s="9" t="s">
        <v>62</v>
      </c>
      <c r="J70" t="s">
        <v>63</v>
      </c>
    </row>
    <row r="71" spans="1:10">
      <c r="A71">
        <v>2020</v>
      </c>
      <c r="B71" t="s">
        <v>26</v>
      </c>
      <c r="C71" s="3">
        <v>558</v>
      </c>
      <c r="D71" t="s">
        <v>11</v>
      </c>
      <c r="E71" t="s">
        <v>52</v>
      </c>
      <c r="F71">
        <v>146</v>
      </c>
      <c r="G71" t="s">
        <v>53</v>
      </c>
      <c r="H71" s="9" t="s">
        <v>54</v>
      </c>
      <c r="I71" s="9" t="s">
        <v>55</v>
      </c>
      <c r="J71" t="s">
        <v>56</v>
      </c>
    </row>
    <row r="72" spans="1:10">
      <c r="A72">
        <v>2020</v>
      </c>
      <c r="B72" t="s">
        <v>91</v>
      </c>
      <c r="C72" s="3">
        <v>29978</v>
      </c>
      <c r="D72" t="s">
        <v>11</v>
      </c>
      <c r="E72" t="s">
        <v>59</v>
      </c>
      <c r="F72">
        <v>179</v>
      </c>
      <c r="G72" t="s">
        <v>60</v>
      </c>
      <c r="H72" s="9" t="s">
        <v>61</v>
      </c>
      <c r="I72" s="9" t="s">
        <v>62</v>
      </c>
      <c r="J72" t="s">
        <v>63</v>
      </c>
    </row>
    <row r="73" spans="1:10">
      <c r="A73">
        <v>2020</v>
      </c>
      <c r="B73" t="s">
        <v>92</v>
      </c>
      <c r="C73" s="3">
        <v>30762</v>
      </c>
      <c r="D73" t="s">
        <v>11</v>
      </c>
      <c r="E73" t="s">
        <v>59</v>
      </c>
      <c r="F73">
        <v>179</v>
      </c>
      <c r="G73" t="s">
        <v>60</v>
      </c>
      <c r="H73" s="9" t="s">
        <v>61</v>
      </c>
      <c r="I73" s="9" t="s">
        <v>62</v>
      </c>
      <c r="J73" t="s">
        <v>63</v>
      </c>
    </row>
    <row r="74" spans="1:10">
      <c r="A74">
        <v>2020</v>
      </c>
      <c r="B74" t="s">
        <v>93</v>
      </c>
      <c r="C74" s="3">
        <v>861</v>
      </c>
      <c r="D74" t="s">
        <v>11</v>
      </c>
      <c r="E74" t="s">
        <v>59</v>
      </c>
      <c r="F74">
        <v>149</v>
      </c>
      <c r="G74" t="s">
        <v>60</v>
      </c>
      <c r="H74" s="9" t="s">
        <v>61</v>
      </c>
      <c r="I74" s="9" t="s">
        <v>62</v>
      </c>
      <c r="J74" t="s">
        <v>63</v>
      </c>
    </row>
    <row r="75" spans="1:10">
      <c r="A75">
        <v>2020</v>
      </c>
      <c r="B75" t="s">
        <v>94</v>
      </c>
      <c r="C75" s="3">
        <v>127</v>
      </c>
      <c r="D75" t="s">
        <v>11</v>
      </c>
      <c r="E75" t="s">
        <v>59</v>
      </c>
      <c r="F75">
        <v>149</v>
      </c>
      <c r="G75" t="s">
        <v>60</v>
      </c>
      <c r="H75" s="9" t="s">
        <v>61</v>
      </c>
      <c r="I75" s="9" t="s">
        <v>62</v>
      </c>
      <c r="J75" t="s">
        <v>63</v>
      </c>
    </row>
    <row r="76" spans="1:10">
      <c r="A76">
        <v>2020</v>
      </c>
      <c r="B76" t="s">
        <v>95</v>
      </c>
      <c r="C76" s="3">
        <v>47</v>
      </c>
      <c r="D76" t="s">
        <v>11</v>
      </c>
      <c r="E76" t="s">
        <v>59</v>
      </c>
      <c r="F76">
        <v>149</v>
      </c>
      <c r="G76" t="s">
        <v>60</v>
      </c>
      <c r="H76" s="9" t="s">
        <v>61</v>
      </c>
      <c r="I76" s="9" t="s">
        <v>62</v>
      </c>
      <c r="J76" t="s">
        <v>63</v>
      </c>
    </row>
    <row r="77" spans="1:10">
      <c r="A77">
        <v>2020</v>
      </c>
      <c r="B77" t="s">
        <v>96</v>
      </c>
      <c r="C77" s="3">
        <v>123</v>
      </c>
      <c r="D77" t="s">
        <v>11</v>
      </c>
      <c r="E77" t="s">
        <v>59</v>
      </c>
      <c r="F77">
        <v>148</v>
      </c>
      <c r="G77" t="s">
        <v>60</v>
      </c>
      <c r="H77" s="9" t="s">
        <v>61</v>
      </c>
      <c r="I77" s="9" t="s">
        <v>62</v>
      </c>
      <c r="J77" t="s">
        <v>63</v>
      </c>
    </row>
    <row r="78" spans="1:10">
      <c r="A78">
        <v>2020</v>
      </c>
      <c r="B78" t="s">
        <v>27</v>
      </c>
      <c r="C78" s="3">
        <v>29201</v>
      </c>
      <c r="D78" t="s">
        <v>11</v>
      </c>
      <c r="E78" t="s">
        <v>52</v>
      </c>
      <c r="F78">
        <v>146</v>
      </c>
      <c r="G78" t="s">
        <v>53</v>
      </c>
      <c r="H78" s="9" t="s">
        <v>54</v>
      </c>
      <c r="I78" s="9" t="s">
        <v>55</v>
      </c>
      <c r="J78" t="s">
        <v>56</v>
      </c>
    </row>
    <row r="79" spans="1:10">
      <c r="A79">
        <v>2020</v>
      </c>
      <c r="B79" t="s">
        <v>97</v>
      </c>
      <c r="C79" s="3">
        <v>625</v>
      </c>
      <c r="D79" t="s">
        <v>11</v>
      </c>
      <c r="E79" t="s">
        <v>59</v>
      </c>
      <c r="F79">
        <v>148</v>
      </c>
      <c r="G79" t="s">
        <v>60</v>
      </c>
      <c r="H79" s="9" t="s">
        <v>61</v>
      </c>
      <c r="I79" s="9" t="s">
        <v>62</v>
      </c>
      <c r="J79" t="s">
        <v>63</v>
      </c>
    </row>
    <row r="80" spans="1:10">
      <c r="A80">
        <v>2020</v>
      </c>
      <c r="B80" t="s">
        <v>98</v>
      </c>
      <c r="C80" s="3">
        <v>864</v>
      </c>
      <c r="D80" t="s">
        <v>11</v>
      </c>
      <c r="E80" t="s">
        <v>59</v>
      </c>
      <c r="F80">
        <v>148</v>
      </c>
      <c r="G80" t="s">
        <v>60</v>
      </c>
      <c r="H80" s="9" t="s">
        <v>61</v>
      </c>
      <c r="I80" s="9" t="s">
        <v>62</v>
      </c>
      <c r="J80" t="s">
        <v>63</v>
      </c>
    </row>
    <row r="81" spans="1:10">
      <c r="A81">
        <v>2020</v>
      </c>
      <c r="B81" t="s">
        <v>99</v>
      </c>
      <c r="C81" s="3">
        <v>47</v>
      </c>
      <c r="D81" t="s">
        <v>11</v>
      </c>
      <c r="E81" t="s">
        <v>59</v>
      </c>
      <c r="F81">
        <v>148</v>
      </c>
      <c r="G81" t="s">
        <v>60</v>
      </c>
      <c r="H81" s="9" t="s">
        <v>61</v>
      </c>
      <c r="I81" s="9" t="s">
        <v>62</v>
      </c>
      <c r="J81" t="s">
        <v>63</v>
      </c>
    </row>
    <row r="82" spans="1:10">
      <c r="A82">
        <v>2020</v>
      </c>
      <c r="B82" t="s">
        <v>28</v>
      </c>
      <c r="C82" s="3">
        <v>484</v>
      </c>
      <c r="D82" t="s">
        <v>11</v>
      </c>
      <c r="E82" t="s">
        <v>52</v>
      </c>
      <c r="F82">
        <v>146</v>
      </c>
      <c r="G82" t="s">
        <v>53</v>
      </c>
      <c r="H82" s="9" t="s">
        <v>54</v>
      </c>
      <c r="I82" s="9" t="s">
        <v>55</v>
      </c>
      <c r="J82" t="s">
        <v>56</v>
      </c>
    </row>
    <row r="83" spans="1:10">
      <c r="A83">
        <v>2020</v>
      </c>
      <c r="B83" t="s">
        <v>100</v>
      </c>
      <c r="C83" s="3">
        <v>127</v>
      </c>
      <c r="D83" t="s">
        <v>11</v>
      </c>
      <c r="E83" t="s">
        <v>59</v>
      </c>
      <c r="F83">
        <v>149</v>
      </c>
      <c r="G83" t="s">
        <v>60</v>
      </c>
      <c r="H83" s="9" t="s">
        <v>61</v>
      </c>
      <c r="I83" s="9" t="s">
        <v>62</v>
      </c>
      <c r="J83" t="s">
        <v>63</v>
      </c>
    </row>
    <row r="84" spans="1:10">
      <c r="A84">
        <v>2020</v>
      </c>
      <c r="B84" t="s">
        <v>101</v>
      </c>
      <c r="C84" s="3">
        <v>116</v>
      </c>
      <c r="D84" t="s">
        <v>11</v>
      </c>
      <c r="E84" t="s">
        <v>59</v>
      </c>
      <c r="F84">
        <v>149</v>
      </c>
      <c r="G84" t="s">
        <v>60</v>
      </c>
      <c r="H84" s="9" t="s">
        <v>61</v>
      </c>
      <c r="I84" s="9" t="s">
        <v>62</v>
      </c>
      <c r="J84" t="s">
        <v>63</v>
      </c>
    </row>
    <row r="85" spans="1:10">
      <c r="A85">
        <v>2020</v>
      </c>
      <c r="B85" t="s">
        <v>102</v>
      </c>
      <c r="C85" s="3">
        <v>429</v>
      </c>
      <c r="D85" t="s">
        <v>11</v>
      </c>
      <c r="E85" t="s">
        <v>59</v>
      </c>
      <c r="F85">
        <v>145</v>
      </c>
      <c r="G85" t="s">
        <v>60</v>
      </c>
      <c r="H85" s="9" t="s">
        <v>61</v>
      </c>
      <c r="I85" s="9" t="s">
        <v>62</v>
      </c>
      <c r="J85" t="s">
        <v>63</v>
      </c>
    </row>
    <row r="86" spans="1:10">
      <c r="A86">
        <v>2020</v>
      </c>
      <c r="B86" t="s">
        <v>29</v>
      </c>
      <c r="C86" s="3">
        <v>68830</v>
      </c>
      <c r="D86" t="s">
        <v>11</v>
      </c>
      <c r="E86" t="s">
        <v>52</v>
      </c>
      <c r="F86">
        <v>146</v>
      </c>
      <c r="G86" t="s">
        <v>53</v>
      </c>
      <c r="H86" s="9" t="s">
        <v>54</v>
      </c>
      <c r="I86" s="9" t="s">
        <v>55</v>
      </c>
      <c r="J86" t="s">
        <v>56</v>
      </c>
    </row>
    <row r="87" spans="1:10">
      <c r="A87">
        <v>2020</v>
      </c>
      <c r="B87" t="s">
        <v>30</v>
      </c>
      <c r="C87" s="3">
        <v>74003</v>
      </c>
      <c r="D87" t="s">
        <v>11</v>
      </c>
      <c r="E87" t="s">
        <v>52</v>
      </c>
      <c r="F87">
        <v>146</v>
      </c>
      <c r="G87" t="s">
        <v>53</v>
      </c>
      <c r="H87" s="9" t="s">
        <v>54</v>
      </c>
      <c r="I87" s="9" t="s">
        <v>55</v>
      </c>
      <c r="J87" t="s">
        <v>56</v>
      </c>
    </row>
    <row r="88" spans="1:10">
      <c r="A88">
        <v>2020</v>
      </c>
      <c r="B88" t="s">
        <v>103</v>
      </c>
      <c r="C88" s="3">
        <v>7387</v>
      </c>
      <c r="D88" t="s">
        <v>11</v>
      </c>
      <c r="E88" t="s">
        <v>59</v>
      </c>
      <c r="F88">
        <v>149</v>
      </c>
      <c r="G88" t="s">
        <v>60</v>
      </c>
      <c r="H88" s="9" t="s">
        <v>61</v>
      </c>
      <c r="I88" s="9" t="s">
        <v>62</v>
      </c>
      <c r="J88" t="s">
        <v>63</v>
      </c>
    </row>
    <row r="89" spans="1:10">
      <c r="A89">
        <v>2020</v>
      </c>
      <c r="B89" t="s">
        <v>104</v>
      </c>
      <c r="C89" s="3">
        <v>14073</v>
      </c>
      <c r="D89" t="s">
        <v>11</v>
      </c>
      <c r="E89" t="s">
        <v>59</v>
      </c>
      <c r="F89">
        <v>149</v>
      </c>
      <c r="G89" t="s">
        <v>60</v>
      </c>
      <c r="H89" s="9" t="s">
        <v>61</v>
      </c>
      <c r="I89" s="9" t="s">
        <v>62</v>
      </c>
      <c r="J89" t="s">
        <v>63</v>
      </c>
    </row>
    <row r="90" spans="1:10">
      <c r="A90">
        <v>2020</v>
      </c>
      <c r="B90" t="s">
        <v>105</v>
      </c>
      <c r="C90" s="3">
        <v>3057</v>
      </c>
      <c r="D90" t="s">
        <v>11</v>
      </c>
      <c r="E90" t="s">
        <v>59</v>
      </c>
      <c r="F90">
        <v>149</v>
      </c>
      <c r="G90" t="s">
        <v>60</v>
      </c>
      <c r="H90" s="9" t="s">
        <v>61</v>
      </c>
      <c r="I90" s="9" t="s">
        <v>62</v>
      </c>
      <c r="J90" t="s">
        <v>63</v>
      </c>
    </row>
    <row r="91" spans="1:10">
      <c r="A91">
        <v>2020</v>
      </c>
      <c r="B91" t="s">
        <v>106</v>
      </c>
      <c r="C91" s="3">
        <v>4509</v>
      </c>
      <c r="D91" t="s">
        <v>11</v>
      </c>
      <c r="E91" t="s">
        <v>59</v>
      </c>
      <c r="F91">
        <v>145</v>
      </c>
      <c r="G91" t="s">
        <v>60</v>
      </c>
      <c r="H91" s="9" t="s">
        <v>61</v>
      </c>
      <c r="I91" s="9" t="s">
        <v>62</v>
      </c>
      <c r="J91" t="s">
        <v>63</v>
      </c>
    </row>
    <row r="92" spans="1:10">
      <c r="A92">
        <v>2020</v>
      </c>
      <c r="B92" t="s">
        <v>31</v>
      </c>
      <c r="C92" s="3">
        <v>3976</v>
      </c>
      <c r="D92" t="s">
        <v>11</v>
      </c>
      <c r="E92" t="s">
        <v>52</v>
      </c>
      <c r="F92">
        <v>146</v>
      </c>
      <c r="G92" t="s">
        <v>53</v>
      </c>
      <c r="H92" s="9" t="s">
        <v>54</v>
      </c>
      <c r="I92" s="9" t="s">
        <v>55</v>
      </c>
      <c r="J92" t="s">
        <v>56</v>
      </c>
    </row>
    <row r="93" spans="1:10">
      <c r="A93">
        <v>2020</v>
      </c>
      <c r="B93" t="s">
        <v>107</v>
      </c>
      <c r="C93" s="3">
        <v>30988</v>
      </c>
      <c r="D93" t="s">
        <v>37</v>
      </c>
      <c r="E93" t="s">
        <v>59</v>
      </c>
      <c r="F93">
        <v>179</v>
      </c>
      <c r="G93" t="s">
        <v>60</v>
      </c>
      <c r="H93" s="9" t="s">
        <v>61</v>
      </c>
      <c r="I93" s="9" t="s">
        <v>62</v>
      </c>
      <c r="J93" t="s">
        <v>63</v>
      </c>
    </row>
    <row r="94" spans="1:10">
      <c r="A94">
        <v>2020</v>
      </c>
      <c r="B94" t="s">
        <v>32</v>
      </c>
      <c r="C94" s="3">
        <v>54510</v>
      </c>
      <c r="D94" t="s">
        <v>11</v>
      </c>
      <c r="E94" t="s">
        <v>52</v>
      </c>
      <c r="F94">
        <v>182</v>
      </c>
      <c r="G94" t="s">
        <v>53</v>
      </c>
      <c r="H94" s="9" t="s">
        <v>54</v>
      </c>
      <c r="I94" s="9" t="s">
        <v>55</v>
      </c>
      <c r="J94" t="s">
        <v>56</v>
      </c>
    </row>
    <row r="95" spans="1:10">
      <c r="A95">
        <v>2020</v>
      </c>
      <c r="B95" t="s">
        <v>33</v>
      </c>
      <c r="C95" s="3">
        <v>15222</v>
      </c>
      <c r="D95" t="s">
        <v>11</v>
      </c>
      <c r="E95" t="s">
        <v>73</v>
      </c>
      <c r="F95">
        <v>148</v>
      </c>
      <c r="G95" t="s">
        <v>74</v>
      </c>
      <c r="H95" s="9" t="s">
        <v>75</v>
      </c>
      <c r="I95" s="9" t="s">
        <v>76</v>
      </c>
      <c r="J95" t="s">
        <v>77</v>
      </c>
    </row>
    <row r="96" spans="1:10">
      <c r="A96">
        <v>2020</v>
      </c>
      <c r="B96" t="s">
        <v>108</v>
      </c>
      <c r="C96" s="3">
        <v>31763</v>
      </c>
      <c r="D96" t="s">
        <v>37</v>
      </c>
      <c r="E96" t="s">
        <v>59</v>
      </c>
      <c r="F96">
        <v>179</v>
      </c>
      <c r="G96" t="s">
        <v>60</v>
      </c>
      <c r="H96" s="9" t="s">
        <v>61</v>
      </c>
      <c r="I96" s="9" t="s">
        <v>62</v>
      </c>
      <c r="J96" t="s">
        <v>63</v>
      </c>
    </row>
    <row r="97" spans="1:10">
      <c r="A97">
        <v>2020</v>
      </c>
      <c r="B97" t="s">
        <v>34</v>
      </c>
      <c r="C97" s="3">
        <v>317</v>
      </c>
      <c r="D97" t="s">
        <v>11</v>
      </c>
      <c r="E97" t="s">
        <v>52</v>
      </c>
      <c r="F97">
        <v>146</v>
      </c>
      <c r="G97" t="s">
        <v>53</v>
      </c>
      <c r="H97" s="9" t="s">
        <v>54</v>
      </c>
      <c r="I97" s="9" t="s">
        <v>55</v>
      </c>
      <c r="J97" t="s">
        <v>56</v>
      </c>
    </row>
    <row r="98" spans="1:10">
      <c r="A98">
        <v>2020</v>
      </c>
      <c r="B98" t="s">
        <v>109</v>
      </c>
      <c r="C98" s="3">
        <v>339</v>
      </c>
      <c r="D98" t="s">
        <v>11</v>
      </c>
      <c r="E98" t="s">
        <v>59</v>
      </c>
      <c r="F98">
        <v>145</v>
      </c>
      <c r="G98" t="s">
        <v>60</v>
      </c>
      <c r="H98" s="9" t="s">
        <v>61</v>
      </c>
      <c r="I98" s="9" t="s">
        <v>62</v>
      </c>
      <c r="J98" t="s">
        <v>63</v>
      </c>
    </row>
    <row r="99" spans="1:10">
      <c r="A99">
        <v>2020</v>
      </c>
      <c r="B99" t="s">
        <v>110</v>
      </c>
      <c r="C99" s="3">
        <v>2227</v>
      </c>
      <c r="D99" t="s">
        <v>11</v>
      </c>
      <c r="E99" t="s">
        <v>59</v>
      </c>
      <c r="F99">
        <v>145</v>
      </c>
      <c r="G99" t="s">
        <v>60</v>
      </c>
      <c r="H99" s="9" t="s">
        <v>61</v>
      </c>
      <c r="I99" s="9" t="s">
        <v>62</v>
      </c>
      <c r="J99" t="s">
        <v>63</v>
      </c>
    </row>
    <row r="100" spans="1:10">
      <c r="A100">
        <v>2020</v>
      </c>
      <c r="B100" t="s">
        <v>111</v>
      </c>
      <c r="C100" s="3">
        <v>29044</v>
      </c>
      <c r="D100" t="s">
        <v>11</v>
      </c>
      <c r="E100" t="s">
        <v>59</v>
      </c>
      <c r="F100">
        <v>179</v>
      </c>
      <c r="G100" t="s">
        <v>60</v>
      </c>
      <c r="H100" s="9" t="s">
        <v>61</v>
      </c>
      <c r="I100" s="9" t="s">
        <v>62</v>
      </c>
      <c r="J100" t="s">
        <v>63</v>
      </c>
    </row>
    <row r="101" spans="1:10">
      <c r="A101">
        <v>2020</v>
      </c>
      <c r="B101" t="s">
        <v>112</v>
      </c>
      <c r="C101" s="3">
        <v>2697</v>
      </c>
      <c r="D101" t="s">
        <v>11</v>
      </c>
      <c r="E101" t="s">
        <v>59</v>
      </c>
      <c r="F101">
        <v>145</v>
      </c>
      <c r="G101" t="s">
        <v>60</v>
      </c>
      <c r="H101" s="9" t="s">
        <v>61</v>
      </c>
      <c r="I101" s="9" t="s">
        <v>62</v>
      </c>
      <c r="J101" t="s">
        <v>63</v>
      </c>
    </row>
    <row r="102" spans="1:10">
      <c r="A102">
        <v>2020</v>
      </c>
      <c r="B102" t="s">
        <v>35</v>
      </c>
      <c r="C102" s="3">
        <v>46357</v>
      </c>
      <c r="D102" t="s">
        <v>11</v>
      </c>
      <c r="E102" t="s">
        <v>52</v>
      </c>
      <c r="F102">
        <v>182</v>
      </c>
      <c r="G102" t="s">
        <v>53</v>
      </c>
      <c r="H102" s="9" t="s">
        <v>54</v>
      </c>
      <c r="I102" s="9" t="s">
        <v>55</v>
      </c>
      <c r="J102" t="s">
        <v>56</v>
      </c>
    </row>
    <row r="103" spans="1:10">
      <c r="A103">
        <v>2020</v>
      </c>
      <c r="B103" t="s">
        <v>36</v>
      </c>
      <c r="C103" s="3">
        <v>14450</v>
      </c>
      <c r="D103" t="s">
        <v>37</v>
      </c>
      <c r="E103" t="s">
        <v>73</v>
      </c>
      <c r="F103">
        <v>148</v>
      </c>
      <c r="G103" t="s">
        <v>74</v>
      </c>
      <c r="H103" s="9" t="s">
        <v>75</v>
      </c>
      <c r="I103" s="9" t="s">
        <v>76</v>
      </c>
      <c r="J103" t="s">
        <v>77</v>
      </c>
    </row>
    <row r="104" spans="1:10">
      <c r="A104">
        <v>2020</v>
      </c>
      <c r="B104" t="s">
        <v>113</v>
      </c>
      <c r="C104" s="3">
        <v>29732</v>
      </c>
      <c r="D104" t="s">
        <v>11</v>
      </c>
      <c r="E104" t="s">
        <v>59</v>
      </c>
      <c r="F104">
        <v>179</v>
      </c>
      <c r="G104" t="s">
        <v>60</v>
      </c>
      <c r="H104" s="9" t="s">
        <v>61</v>
      </c>
      <c r="I104" s="9" t="s">
        <v>62</v>
      </c>
      <c r="J104" t="s">
        <v>63</v>
      </c>
    </row>
    <row r="105" spans="1:10">
      <c r="A105">
        <v>2020</v>
      </c>
      <c r="B105" t="s">
        <v>114</v>
      </c>
      <c r="C105" s="3">
        <v>25943</v>
      </c>
      <c r="D105" t="s">
        <v>37</v>
      </c>
      <c r="E105" t="s">
        <v>59</v>
      </c>
      <c r="F105">
        <v>148</v>
      </c>
      <c r="G105" t="s">
        <v>60</v>
      </c>
      <c r="H105" s="9" t="s">
        <v>61</v>
      </c>
      <c r="I105" s="9" t="s">
        <v>62</v>
      </c>
      <c r="J105" t="s">
        <v>63</v>
      </c>
    </row>
    <row r="106" spans="1:10">
      <c r="A106">
        <v>2020</v>
      </c>
      <c r="B106" t="s">
        <v>38</v>
      </c>
      <c r="C106" s="3">
        <v>3173</v>
      </c>
      <c r="D106" t="s">
        <v>11</v>
      </c>
      <c r="E106" t="s">
        <v>52</v>
      </c>
      <c r="F106">
        <v>146</v>
      </c>
      <c r="G106" t="s">
        <v>53</v>
      </c>
      <c r="H106" s="9" t="s">
        <v>54</v>
      </c>
      <c r="I106" s="9" t="s">
        <v>55</v>
      </c>
      <c r="J106" t="s">
        <v>56</v>
      </c>
    </row>
    <row r="107" spans="1:10">
      <c r="A107">
        <v>2020</v>
      </c>
      <c r="B107" t="s">
        <v>115</v>
      </c>
      <c r="C107" s="3">
        <v>472</v>
      </c>
      <c r="D107" t="s">
        <v>11</v>
      </c>
      <c r="E107" t="s">
        <v>59</v>
      </c>
      <c r="F107">
        <v>149</v>
      </c>
      <c r="G107" t="s">
        <v>60</v>
      </c>
      <c r="H107" s="9" t="s">
        <v>61</v>
      </c>
      <c r="I107" s="9" t="s">
        <v>62</v>
      </c>
      <c r="J107" t="s">
        <v>63</v>
      </c>
    </row>
    <row r="108" spans="1:10">
      <c r="A108">
        <v>2020</v>
      </c>
      <c r="B108" t="s">
        <v>116</v>
      </c>
      <c r="C108" s="3">
        <v>276</v>
      </c>
      <c r="D108" t="s">
        <v>11</v>
      </c>
      <c r="E108" t="s">
        <v>59</v>
      </c>
      <c r="F108">
        <v>149</v>
      </c>
      <c r="G108" t="s">
        <v>60</v>
      </c>
      <c r="H108" s="9" t="s">
        <v>61</v>
      </c>
      <c r="I108" s="9" t="s">
        <v>62</v>
      </c>
      <c r="J108" t="s">
        <v>63</v>
      </c>
    </row>
    <row r="109" spans="1:10">
      <c r="A109">
        <v>2020</v>
      </c>
      <c r="B109" t="s">
        <v>39</v>
      </c>
      <c r="C109" s="3">
        <v>3399</v>
      </c>
      <c r="D109" t="s">
        <v>11</v>
      </c>
      <c r="E109" t="s">
        <v>52</v>
      </c>
      <c r="F109">
        <v>146</v>
      </c>
      <c r="G109" t="s">
        <v>53</v>
      </c>
      <c r="H109" s="9" t="s">
        <v>54</v>
      </c>
      <c r="I109" s="9" t="s">
        <v>55</v>
      </c>
      <c r="J109" t="s">
        <v>56</v>
      </c>
    </row>
    <row r="110" spans="1:10">
      <c r="A110">
        <v>2020</v>
      </c>
      <c r="B110" t="s">
        <v>40</v>
      </c>
      <c r="C110" s="3">
        <v>6095</v>
      </c>
      <c r="D110" t="s">
        <v>11</v>
      </c>
      <c r="E110" t="s">
        <v>52</v>
      </c>
      <c r="F110">
        <v>146</v>
      </c>
      <c r="G110" t="s">
        <v>53</v>
      </c>
      <c r="H110" s="9" t="s">
        <v>54</v>
      </c>
      <c r="I110" s="9" t="s">
        <v>55</v>
      </c>
      <c r="J110" t="s">
        <v>56</v>
      </c>
    </row>
    <row r="111" spans="1:10">
      <c r="A111">
        <v>2020</v>
      </c>
      <c r="B111" t="s">
        <v>117</v>
      </c>
      <c r="C111" s="3">
        <v>279</v>
      </c>
      <c r="D111" t="s">
        <v>11</v>
      </c>
      <c r="E111" t="s">
        <v>59</v>
      </c>
      <c r="F111">
        <v>145</v>
      </c>
      <c r="G111" t="s">
        <v>60</v>
      </c>
      <c r="H111" s="9" t="s">
        <v>61</v>
      </c>
      <c r="I111" s="9" t="s">
        <v>62</v>
      </c>
      <c r="J111" t="s">
        <v>63</v>
      </c>
    </row>
    <row r="112" spans="1:10">
      <c r="A112">
        <v>2020</v>
      </c>
      <c r="B112" t="s">
        <v>118</v>
      </c>
      <c r="C112" s="3">
        <v>7497</v>
      </c>
      <c r="D112" t="s">
        <v>11</v>
      </c>
      <c r="E112" t="s">
        <v>52</v>
      </c>
      <c r="F112">
        <v>182</v>
      </c>
      <c r="G112" t="s">
        <v>53</v>
      </c>
      <c r="H112" s="9" t="s">
        <v>54</v>
      </c>
      <c r="I112" s="9" t="s">
        <v>55</v>
      </c>
      <c r="J112" t="s">
        <v>56</v>
      </c>
    </row>
    <row r="113" spans="1:10">
      <c r="A113">
        <v>2020</v>
      </c>
      <c r="B113" t="s">
        <v>119</v>
      </c>
      <c r="C113" s="3">
        <v>9092</v>
      </c>
      <c r="D113" t="s">
        <v>11</v>
      </c>
      <c r="E113" t="s">
        <v>52</v>
      </c>
      <c r="F113">
        <v>182</v>
      </c>
      <c r="G113" t="s">
        <v>53</v>
      </c>
      <c r="H113" s="9" t="s">
        <v>54</v>
      </c>
      <c r="I113" s="9" t="s">
        <v>55</v>
      </c>
      <c r="J113" t="s">
        <v>56</v>
      </c>
    </row>
    <row r="114" spans="1:10">
      <c r="A114">
        <v>2020</v>
      </c>
      <c r="B114" t="s">
        <v>41</v>
      </c>
      <c r="C114" s="3">
        <v>7829</v>
      </c>
      <c r="D114" t="s">
        <v>11</v>
      </c>
      <c r="E114" t="s">
        <v>52</v>
      </c>
      <c r="F114">
        <v>146</v>
      </c>
      <c r="G114" t="s">
        <v>53</v>
      </c>
      <c r="H114" s="9" t="s">
        <v>54</v>
      </c>
      <c r="I114" s="9" t="s">
        <v>55</v>
      </c>
      <c r="J114" t="s">
        <v>56</v>
      </c>
    </row>
    <row r="115" spans="1:10">
      <c r="A115">
        <v>2020</v>
      </c>
      <c r="B115" t="s">
        <v>120</v>
      </c>
      <c r="C115" s="3">
        <v>3237</v>
      </c>
      <c r="D115" t="s">
        <v>11</v>
      </c>
      <c r="E115" t="s">
        <v>59</v>
      </c>
      <c r="F115">
        <v>145</v>
      </c>
      <c r="G115" t="s">
        <v>60</v>
      </c>
      <c r="H115" s="9" t="s">
        <v>61</v>
      </c>
      <c r="I115" s="9" t="s">
        <v>62</v>
      </c>
      <c r="J115" t="s">
        <v>63</v>
      </c>
    </row>
    <row r="116" spans="1:10">
      <c r="A116">
        <v>2020</v>
      </c>
      <c r="B116" t="s">
        <v>42</v>
      </c>
      <c r="C116" s="3">
        <v>1026</v>
      </c>
      <c r="D116" t="s">
        <v>11</v>
      </c>
      <c r="E116" t="s">
        <v>52</v>
      </c>
      <c r="F116">
        <v>146</v>
      </c>
      <c r="G116" t="s">
        <v>53</v>
      </c>
      <c r="H116" s="9" t="s">
        <v>54</v>
      </c>
      <c r="I116" s="9" t="s">
        <v>55</v>
      </c>
      <c r="J116" t="s">
        <v>56</v>
      </c>
    </row>
    <row r="117" spans="1:10">
      <c r="A117">
        <v>2020</v>
      </c>
      <c r="B117" t="s">
        <v>121</v>
      </c>
      <c r="C117" s="3">
        <v>113</v>
      </c>
      <c r="D117" t="s">
        <v>11</v>
      </c>
      <c r="E117" t="s">
        <v>59</v>
      </c>
      <c r="F117">
        <v>149</v>
      </c>
      <c r="G117" t="s">
        <v>60</v>
      </c>
      <c r="H117" s="9" t="s">
        <v>61</v>
      </c>
      <c r="I117" s="9" t="s">
        <v>62</v>
      </c>
      <c r="J117" t="s">
        <v>63</v>
      </c>
    </row>
    <row r="118" spans="1:10">
      <c r="A118">
        <v>2020</v>
      </c>
      <c r="B118" t="s">
        <v>122</v>
      </c>
      <c r="C118" s="3">
        <v>0</v>
      </c>
      <c r="D118" t="s">
        <v>11</v>
      </c>
      <c r="E118" t="s">
        <v>59</v>
      </c>
      <c r="F118">
        <v>149</v>
      </c>
      <c r="G118" t="s">
        <v>60</v>
      </c>
      <c r="H118" s="9" t="s">
        <v>61</v>
      </c>
      <c r="I118" s="9" t="s">
        <v>62</v>
      </c>
      <c r="J118" t="s">
        <v>63</v>
      </c>
    </row>
    <row r="119" spans="1:10">
      <c r="A119">
        <v>2020</v>
      </c>
      <c r="B119" t="s">
        <v>123</v>
      </c>
      <c r="C119" s="3">
        <v>2</v>
      </c>
      <c r="D119" t="s">
        <v>11</v>
      </c>
      <c r="E119" t="s">
        <v>59</v>
      </c>
      <c r="F119">
        <v>145</v>
      </c>
      <c r="G119" t="s">
        <v>60</v>
      </c>
      <c r="H119" s="9" t="s">
        <v>61</v>
      </c>
      <c r="I119" s="9" t="s">
        <v>62</v>
      </c>
      <c r="J119" t="s">
        <v>63</v>
      </c>
    </row>
    <row r="120" spans="1:10">
      <c r="A120">
        <v>2020</v>
      </c>
      <c r="B120" t="s">
        <v>43</v>
      </c>
      <c r="C120" s="3">
        <v>356</v>
      </c>
      <c r="D120" t="s">
        <v>11</v>
      </c>
      <c r="E120" t="s">
        <v>52</v>
      </c>
      <c r="F120">
        <v>146</v>
      </c>
      <c r="G120" t="s">
        <v>53</v>
      </c>
      <c r="H120" s="9" t="s">
        <v>54</v>
      </c>
      <c r="I120" s="9" t="s">
        <v>55</v>
      </c>
      <c r="J120" t="s">
        <v>56</v>
      </c>
    </row>
    <row r="121" spans="1:10">
      <c r="A121">
        <v>2020</v>
      </c>
      <c r="B121" t="s">
        <v>124</v>
      </c>
      <c r="C121" s="3">
        <v>43854</v>
      </c>
      <c r="D121" t="s">
        <v>11</v>
      </c>
      <c r="E121" t="s">
        <v>52</v>
      </c>
      <c r="F121">
        <v>182</v>
      </c>
      <c r="G121" t="s">
        <v>53</v>
      </c>
      <c r="H121" s="9" t="s">
        <v>54</v>
      </c>
      <c r="I121" s="9" t="s">
        <v>55</v>
      </c>
      <c r="J121" t="s">
        <v>56</v>
      </c>
    </row>
    <row r="122" spans="1:10">
      <c r="A122">
        <v>2020</v>
      </c>
      <c r="B122" t="s">
        <v>125</v>
      </c>
      <c r="C122" s="3">
        <v>19018</v>
      </c>
      <c r="D122" t="s">
        <v>11</v>
      </c>
      <c r="E122" t="s">
        <v>52</v>
      </c>
      <c r="F122">
        <v>182</v>
      </c>
      <c r="G122" t="s">
        <v>53</v>
      </c>
      <c r="H122" s="9" t="s">
        <v>54</v>
      </c>
      <c r="I122" s="9" t="s">
        <v>55</v>
      </c>
      <c r="J122" t="s">
        <v>56</v>
      </c>
    </row>
    <row r="123" spans="1:10">
      <c r="A123">
        <v>2020</v>
      </c>
      <c r="B123" t="s">
        <v>126</v>
      </c>
      <c r="C123" s="3">
        <v>16589</v>
      </c>
      <c r="D123" t="s">
        <v>11</v>
      </c>
      <c r="E123" t="s">
        <v>52</v>
      </c>
      <c r="F123">
        <v>182</v>
      </c>
      <c r="G123" t="s">
        <v>53</v>
      </c>
      <c r="H123" s="9" t="s">
        <v>54</v>
      </c>
      <c r="I123" s="9" t="s">
        <v>55</v>
      </c>
      <c r="J123" t="s">
        <v>56</v>
      </c>
    </row>
    <row r="124" spans="1:10">
      <c r="A124">
        <v>2020</v>
      </c>
      <c r="B124" t="s">
        <v>127</v>
      </c>
      <c r="C124" s="3">
        <v>74</v>
      </c>
      <c r="D124" t="s">
        <v>11</v>
      </c>
      <c r="E124" t="s">
        <v>52</v>
      </c>
      <c r="F124">
        <v>182</v>
      </c>
      <c r="G124" t="s">
        <v>53</v>
      </c>
      <c r="H124" s="9" t="s">
        <v>54</v>
      </c>
      <c r="I124" s="9" t="s">
        <v>55</v>
      </c>
      <c r="J124" t="s">
        <v>56</v>
      </c>
    </row>
    <row r="125" spans="1:10">
      <c r="A125">
        <v>2020</v>
      </c>
      <c r="B125" t="s">
        <v>128</v>
      </c>
      <c r="C125" s="3">
        <v>-267</v>
      </c>
      <c r="D125" t="s">
        <v>11</v>
      </c>
      <c r="E125" t="s">
        <v>52</v>
      </c>
      <c r="F125">
        <v>182</v>
      </c>
      <c r="G125" t="s">
        <v>53</v>
      </c>
      <c r="H125" s="9" t="s">
        <v>54</v>
      </c>
      <c r="I125" s="9" t="s">
        <v>55</v>
      </c>
      <c r="J125" t="s">
        <v>56</v>
      </c>
    </row>
    <row r="126" spans="1:10">
      <c r="A126">
        <v>2020</v>
      </c>
      <c r="B126" t="s">
        <v>129</v>
      </c>
      <c r="C126" s="3">
        <v>19018</v>
      </c>
      <c r="D126" t="s">
        <v>37</v>
      </c>
      <c r="E126" t="s">
        <v>52</v>
      </c>
      <c r="F126">
        <v>182</v>
      </c>
      <c r="G126" t="s">
        <v>53</v>
      </c>
      <c r="H126" s="9" t="s">
        <v>54</v>
      </c>
      <c r="I126" s="9" t="s">
        <v>55</v>
      </c>
      <c r="J126" t="s">
        <v>56</v>
      </c>
    </row>
    <row r="127" spans="1:10">
      <c r="A127">
        <v>2020</v>
      </c>
      <c r="B127" t="s">
        <v>44</v>
      </c>
      <c r="C127" s="3">
        <v>38771</v>
      </c>
      <c r="D127" t="s">
        <v>11</v>
      </c>
      <c r="E127" t="s">
        <v>52</v>
      </c>
      <c r="F127">
        <v>146</v>
      </c>
      <c r="G127" t="s">
        <v>53</v>
      </c>
      <c r="H127" s="9" t="s">
        <v>54</v>
      </c>
      <c r="I127" s="9" t="s">
        <v>55</v>
      </c>
      <c r="J127" t="s">
        <v>56</v>
      </c>
    </row>
    <row r="128" spans="1:10">
      <c r="A128">
        <v>2020</v>
      </c>
      <c r="B128" t="s">
        <v>130</v>
      </c>
      <c r="C128" s="3">
        <v>4</v>
      </c>
      <c r="D128" t="s">
        <v>11</v>
      </c>
      <c r="E128" t="s">
        <v>59</v>
      </c>
      <c r="F128">
        <v>148</v>
      </c>
      <c r="G128" t="s">
        <v>60</v>
      </c>
      <c r="H128" s="9" t="s">
        <v>61</v>
      </c>
      <c r="I128" s="9" t="s">
        <v>62</v>
      </c>
      <c r="J128" t="s">
        <v>63</v>
      </c>
    </row>
    <row r="129" spans="1:10">
      <c r="A129">
        <v>2020</v>
      </c>
      <c r="B129" t="s">
        <v>131</v>
      </c>
      <c r="C129" s="3">
        <v>625</v>
      </c>
      <c r="D129" t="s">
        <v>11</v>
      </c>
      <c r="E129" t="s">
        <v>59</v>
      </c>
      <c r="F129">
        <v>149</v>
      </c>
      <c r="G129" t="s">
        <v>60</v>
      </c>
      <c r="H129" s="9" t="s">
        <v>61</v>
      </c>
      <c r="I129" s="9" t="s">
        <v>62</v>
      </c>
      <c r="J129" t="s">
        <v>63</v>
      </c>
    </row>
    <row r="130" spans="1:10">
      <c r="A130">
        <v>2020</v>
      </c>
      <c r="B130" t="s">
        <v>45</v>
      </c>
      <c r="C130" s="3">
        <v>5511</v>
      </c>
      <c r="D130" t="s">
        <v>11</v>
      </c>
      <c r="E130" t="s">
        <v>52</v>
      </c>
      <c r="F130">
        <v>146</v>
      </c>
      <c r="G130" t="s">
        <v>53</v>
      </c>
      <c r="H130" s="9" t="s">
        <v>54</v>
      </c>
      <c r="I130" s="9" t="s">
        <v>55</v>
      </c>
      <c r="J130" t="s">
        <v>56</v>
      </c>
    </row>
    <row r="131" spans="1:10">
      <c r="A131">
        <v>2020</v>
      </c>
      <c r="B131" t="s">
        <v>132</v>
      </c>
      <c r="C131" s="3">
        <v>-566</v>
      </c>
      <c r="D131" t="s">
        <v>11</v>
      </c>
      <c r="E131" t="s">
        <v>59</v>
      </c>
      <c r="F131">
        <v>149</v>
      </c>
      <c r="G131" t="s">
        <v>60</v>
      </c>
      <c r="H131" s="9" t="s">
        <v>61</v>
      </c>
      <c r="I131" s="9" t="s">
        <v>62</v>
      </c>
      <c r="J131" t="s">
        <v>63</v>
      </c>
    </row>
    <row r="132" spans="1:10">
      <c r="A132">
        <v>2020</v>
      </c>
      <c r="B132" t="s">
        <v>133</v>
      </c>
      <c r="C132" s="3">
        <v>151</v>
      </c>
      <c r="D132" t="s">
        <v>11</v>
      </c>
      <c r="E132" t="s">
        <v>59</v>
      </c>
      <c r="F132">
        <v>148</v>
      </c>
      <c r="G132" t="s">
        <v>60</v>
      </c>
      <c r="H132" s="9" t="s">
        <v>61</v>
      </c>
      <c r="I132" s="9" t="s">
        <v>62</v>
      </c>
      <c r="J132" t="s">
        <v>63</v>
      </c>
    </row>
    <row r="133" spans="1:10">
      <c r="A133">
        <v>2020</v>
      </c>
      <c r="B133" t="s">
        <v>134</v>
      </c>
      <c r="C133" s="3">
        <v>540</v>
      </c>
      <c r="D133" t="s">
        <v>11</v>
      </c>
      <c r="E133" t="s">
        <v>59</v>
      </c>
      <c r="F133">
        <v>145</v>
      </c>
      <c r="G133" t="s">
        <v>60</v>
      </c>
      <c r="H133" s="9" t="s">
        <v>61</v>
      </c>
      <c r="I133" s="9" t="s">
        <v>62</v>
      </c>
      <c r="J133" t="s">
        <v>63</v>
      </c>
    </row>
    <row r="134" spans="1:10">
      <c r="A134">
        <v>2020</v>
      </c>
      <c r="B134" t="s">
        <v>46</v>
      </c>
      <c r="C134" s="3">
        <v>116764</v>
      </c>
      <c r="D134" t="s">
        <v>11</v>
      </c>
      <c r="E134" t="s">
        <v>52</v>
      </c>
      <c r="F134">
        <v>146</v>
      </c>
      <c r="G134" t="s">
        <v>53</v>
      </c>
      <c r="H134" s="9" t="s">
        <v>54</v>
      </c>
      <c r="I134" s="9" t="s">
        <v>55</v>
      </c>
      <c r="J134" t="s">
        <v>56</v>
      </c>
    </row>
    <row r="135" spans="1:10">
      <c r="A135">
        <v>2020</v>
      </c>
      <c r="B135" t="s">
        <v>135</v>
      </c>
      <c r="C135" s="3">
        <v>28744</v>
      </c>
      <c r="D135" t="s">
        <v>11</v>
      </c>
      <c r="E135" t="s">
        <v>59</v>
      </c>
      <c r="F135">
        <v>145</v>
      </c>
      <c r="G135" t="s">
        <v>60</v>
      </c>
      <c r="H135" s="9" t="s">
        <v>61</v>
      </c>
      <c r="I135" s="9" t="s">
        <v>62</v>
      </c>
      <c r="J135" t="s">
        <v>63</v>
      </c>
    </row>
    <row r="136" spans="1:10">
      <c r="A136">
        <v>2020</v>
      </c>
      <c r="B136" t="s">
        <v>47</v>
      </c>
      <c r="C136" s="3">
        <v>84423</v>
      </c>
      <c r="D136" t="s">
        <v>11</v>
      </c>
      <c r="E136" t="s">
        <v>52</v>
      </c>
      <c r="F136">
        <v>146</v>
      </c>
      <c r="G136" t="s">
        <v>53</v>
      </c>
      <c r="H136" s="9" t="s">
        <v>54</v>
      </c>
      <c r="I136" s="9" t="s">
        <v>55</v>
      </c>
      <c r="J136" t="s">
        <v>56</v>
      </c>
    </row>
    <row r="137" spans="1:10">
      <c r="A137">
        <v>2020</v>
      </c>
      <c r="B137" t="s">
        <v>48</v>
      </c>
      <c r="C137" s="3">
        <v>87563</v>
      </c>
      <c r="D137" t="s">
        <v>11</v>
      </c>
      <c r="E137" t="s">
        <v>52</v>
      </c>
      <c r="F137">
        <v>146</v>
      </c>
      <c r="G137" t="s">
        <v>53</v>
      </c>
      <c r="H137" s="9" t="s">
        <v>54</v>
      </c>
      <c r="I137" s="9" t="s">
        <v>55</v>
      </c>
      <c r="J137" t="s">
        <v>56</v>
      </c>
    </row>
    <row r="138" spans="1:10">
      <c r="A138">
        <v>2020</v>
      </c>
      <c r="B138" t="s">
        <v>136</v>
      </c>
      <c r="C138" s="3">
        <v>1862</v>
      </c>
      <c r="D138" t="s">
        <v>11</v>
      </c>
      <c r="E138" t="s">
        <v>59</v>
      </c>
      <c r="F138">
        <v>148</v>
      </c>
      <c r="G138" t="s">
        <v>60</v>
      </c>
      <c r="H138" s="9" t="s">
        <v>61</v>
      </c>
      <c r="I138" s="9" t="s">
        <v>62</v>
      </c>
      <c r="J138" t="s">
        <v>63</v>
      </c>
    </row>
    <row r="139" spans="1:10">
      <c r="A139">
        <v>2020</v>
      </c>
      <c r="B139" t="s">
        <v>49</v>
      </c>
      <c r="C139" s="3">
        <v>8350</v>
      </c>
      <c r="D139" t="s">
        <v>11</v>
      </c>
      <c r="E139" t="s">
        <v>52</v>
      </c>
      <c r="F139">
        <v>146</v>
      </c>
      <c r="G139" t="s">
        <v>53</v>
      </c>
      <c r="H139" s="9" t="s">
        <v>54</v>
      </c>
      <c r="I139" s="9" t="s">
        <v>55</v>
      </c>
      <c r="J139" t="s">
        <v>56</v>
      </c>
    </row>
    <row r="140" spans="1:10">
      <c r="A140">
        <v>2020</v>
      </c>
      <c r="B140" t="s">
        <v>137</v>
      </c>
      <c r="C140" s="3">
        <v>31981</v>
      </c>
      <c r="D140" t="s">
        <v>11</v>
      </c>
      <c r="E140" t="s">
        <v>59</v>
      </c>
      <c r="F140">
        <v>145</v>
      </c>
      <c r="G140" t="s">
        <v>60</v>
      </c>
      <c r="H140" s="9" t="s">
        <v>61</v>
      </c>
      <c r="I140" s="9" t="s">
        <v>62</v>
      </c>
      <c r="J140" t="s">
        <v>63</v>
      </c>
    </row>
    <row r="141" spans="1:10">
      <c r="A141">
        <v>2020</v>
      </c>
      <c r="B141" t="s">
        <v>50</v>
      </c>
      <c r="C141" s="3">
        <v>-35815</v>
      </c>
      <c r="D141" t="s">
        <v>11</v>
      </c>
      <c r="E141" t="s">
        <v>52</v>
      </c>
      <c r="F141">
        <v>146</v>
      </c>
      <c r="G141" t="s">
        <v>53</v>
      </c>
      <c r="H141" s="9" t="s">
        <v>54</v>
      </c>
      <c r="I141" s="9" t="s">
        <v>55</v>
      </c>
      <c r="J141" t="s">
        <v>56</v>
      </c>
    </row>
    <row r="142" spans="1:10">
      <c r="A142">
        <v>2020</v>
      </c>
      <c r="B142" t="s">
        <v>51</v>
      </c>
      <c r="C142" s="3">
        <v>8153</v>
      </c>
      <c r="D142" t="s">
        <v>11</v>
      </c>
      <c r="E142" t="s">
        <v>52</v>
      </c>
      <c r="F142">
        <v>182</v>
      </c>
      <c r="G142" t="s">
        <v>53</v>
      </c>
      <c r="H142" s="9" t="s">
        <v>54</v>
      </c>
      <c r="I142" s="9" t="s">
        <v>55</v>
      </c>
      <c r="J142" t="s">
        <v>56</v>
      </c>
    </row>
    <row r="143" spans="1:10">
      <c r="A143">
        <v>2021</v>
      </c>
      <c r="B143" t="s">
        <v>10</v>
      </c>
      <c r="C143" s="3">
        <v>615</v>
      </c>
      <c r="D143" t="s">
        <v>11</v>
      </c>
      <c r="E143" t="s">
        <v>52</v>
      </c>
      <c r="F143">
        <v>146</v>
      </c>
      <c r="G143" t="s">
        <v>53</v>
      </c>
      <c r="H143" s="9" t="s">
        <v>54</v>
      </c>
      <c r="I143" s="9" t="s">
        <v>55</v>
      </c>
      <c r="J143" t="s">
        <v>56</v>
      </c>
    </row>
    <row r="144" spans="1:10">
      <c r="A144">
        <v>2021</v>
      </c>
      <c r="B144" t="s">
        <v>57</v>
      </c>
      <c r="C144" s="3">
        <v>0</v>
      </c>
      <c r="D144" t="s">
        <v>11</v>
      </c>
      <c r="E144" t="s">
        <v>52</v>
      </c>
      <c r="F144">
        <v>182</v>
      </c>
      <c r="G144" t="s">
        <v>53</v>
      </c>
      <c r="H144" s="9" t="s">
        <v>54</v>
      </c>
      <c r="I144" s="9" t="s">
        <v>55</v>
      </c>
      <c r="J144" t="s">
        <v>56</v>
      </c>
    </row>
    <row r="145" spans="1:10">
      <c r="A145">
        <v>2021</v>
      </c>
      <c r="B145" t="s">
        <v>58</v>
      </c>
      <c r="C145" s="3">
        <v>0</v>
      </c>
      <c r="D145" t="s">
        <v>11</v>
      </c>
      <c r="E145" t="s">
        <v>59</v>
      </c>
      <c r="F145">
        <v>148</v>
      </c>
      <c r="G145" t="s">
        <v>60</v>
      </c>
      <c r="H145" s="9" t="s">
        <v>61</v>
      </c>
      <c r="I145" s="9" t="s">
        <v>62</v>
      </c>
      <c r="J145" t="s">
        <v>63</v>
      </c>
    </row>
    <row r="146" spans="1:10">
      <c r="A146">
        <v>2021</v>
      </c>
      <c r="B146" t="s">
        <v>17</v>
      </c>
      <c r="C146" s="3">
        <v>1193</v>
      </c>
      <c r="D146" t="s">
        <v>11</v>
      </c>
      <c r="E146" t="s">
        <v>52</v>
      </c>
      <c r="F146">
        <v>146</v>
      </c>
      <c r="G146" t="s">
        <v>53</v>
      </c>
      <c r="H146" s="9" t="s">
        <v>54</v>
      </c>
      <c r="I146" s="9" t="s">
        <v>55</v>
      </c>
      <c r="J146" t="s">
        <v>56</v>
      </c>
    </row>
    <row r="147" spans="1:10">
      <c r="A147">
        <v>2021</v>
      </c>
      <c r="B147" t="s">
        <v>64</v>
      </c>
      <c r="C147" s="3">
        <v>1032</v>
      </c>
      <c r="D147" t="s">
        <v>11</v>
      </c>
      <c r="E147" t="s">
        <v>59</v>
      </c>
      <c r="F147">
        <v>179</v>
      </c>
      <c r="G147" t="s">
        <v>60</v>
      </c>
      <c r="H147" s="9" t="s">
        <v>61</v>
      </c>
      <c r="I147" s="9" t="s">
        <v>62</v>
      </c>
      <c r="J147" t="s">
        <v>63</v>
      </c>
    </row>
    <row r="148" spans="1:10">
      <c r="A148">
        <v>2021</v>
      </c>
      <c r="B148" t="s">
        <v>65</v>
      </c>
      <c r="C148" s="3">
        <v>1064</v>
      </c>
      <c r="D148" t="s">
        <v>11</v>
      </c>
      <c r="E148" t="s">
        <v>59</v>
      </c>
      <c r="F148">
        <v>179</v>
      </c>
      <c r="G148" t="s">
        <v>60</v>
      </c>
      <c r="H148" s="9" t="s">
        <v>61</v>
      </c>
      <c r="I148" s="9" t="s">
        <v>62</v>
      </c>
      <c r="J148" t="s">
        <v>63</v>
      </c>
    </row>
    <row r="149" spans="1:10">
      <c r="A149">
        <v>2021</v>
      </c>
      <c r="B149" t="s">
        <v>18</v>
      </c>
      <c r="C149" s="3">
        <v>56907</v>
      </c>
      <c r="D149" t="s">
        <v>11</v>
      </c>
      <c r="E149" t="s">
        <v>52</v>
      </c>
      <c r="F149">
        <v>146</v>
      </c>
      <c r="G149" t="s">
        <v>53</v>
      </c>
      <c r="H149" s="9" t="s">
        <v>54</v>
      </c>
      <c r="I149" s="9" t="s">
        <v>55</v>
      </c>
      <c r="J149" t="s">
        <v>56</v>
      </c>
    </row>
    <row r="150" spans="1:10">
      <c r="A150">
        <v>2021</v>
      </c>
      <c r="B150" t="s">
        <v>19</v>
      </c>
      <c r="C150" s="3">
        <v>761</v>
      </c>
      <c r="D150" t="s">
        <v>11</v>
      </c>
      <c r="E150" t="s">
        <v>52</v>
      </c>
      <c r="F150">
        <v>146</v>
      </c>
      <c r="G150" t="s">
        <v>53</v>
      </c>
      <c r="H150" s="9" t="s">
        <v>54</v>
      </c>
      <c r="I150" s="9" t="s">
        <v>55</v>
      </c>
      <c r="J150" t="s">
        <v>56</v>
      </c>
    </row>
    <row r="151" spans="1:10">
      <c r="A151">
        <v>2021</v>
      </c>
      <c r="B151" t="s">
        <v>66</v>
      </c>
      <c r="C151" s="3">
        <v>40</v>
      </c>
      <c r="D151" t="s">
        <v>11</v>
      </c>
      <c r="E151" t="s">
        <v>59</v>
      </c>
      <c r="F151">
        <v>149</v>
      </c>
      <c r="G151" t="s">
        <v>60</v>
      </c>
      <c r="H151" s="9" t="s">
        <v>61</v>
      </c>
      <c r="I151" s="9" t="s">
        <v>62</v>
      </c>
      <c r="J151" t="s">
        <v>63</v>
      </c>
    </row>
    <row r="152" spans="1:10">
      <c r="A152">
        <v>2021</v>
      </c>
      <c r="B152" t="s">
        <v>67</v>
      </c>
      <c r="C152" s="3">
        <v>761</v>
      </c>
      <c r="D152" t="s">
        <v>11</v>
      </c>
      <c r="E152" t="s">
        <v>59</v>
      </c>
      <c r="F152">
        <v>149</v>
      </c>
      <c r="G152" t="s">
        <v>60</v>
      </c>
      <c r="H152" s="9" t="s">
        <v>61</v>
      </c>
      <c r="I152" s="9" t="s">
        <v>62</v>
      </c>
      <c r="J152" t="s">
        <v>63</v>
      </c>
    </row>
    <row r="153" spans="1:10">
      <c r="A153">
        <v>2021</v>
      </c>
      <c r="B153" t="s">
        <v>68</v>
      </c>
      <c r="C153" s="3">
        <v>3662</v>
      </c>
      <c r="D153" t="s">
        <v>11</v>
      </c>
      <c r="E153" t="s">
        <v>59</v>
      </c>
      <c r="F153">
        <v>149</v>
      </c>
      <c r="G153" t="s">
        <v>60</v>
      </c>
      <c r="H153" s="9" t="s">
        <v>61</v>
      </c>
      <c r="I153" s="9" t="s">
        <v>62</v>
      </c>
      <c r="J153" t="s">
        <v>63</v>
      </c>
    </row>
    <row r="154" spans="1:10">
      <c r="A154">
        <v>2021</v>
      </c>
      <c r="B154" t="s">
        <v>69</v>
      </c>
      <c r="C154" s="3">
        <v>721</v>
      </c>
      <c r="D154" t="s">
        <v>11</v>
      </c>
      <c r="E154" t="s">
        <v>59</v>
      </c>
      <c r="F154">
        <v>149</v>
      </c>
      <c r="G154" t="s">
        <v>60</v>
      </c>
      <c r="H154" s="9" t="s">
        <v>61</v>
      </c>
      <c r="I154" s="9" t="s">
        <v>62</v>
      </c>
      <c r="J154" t="s">
        <v>63</v>
      </c>
    </row>
    <row r="155" spans="1:10">
      <c r="A155">
        <v>2021</v>
      </c>
      <c r="B155" t="s">
        <v>70</v>
      </c>
      <c r="C155" s="3">
        <v>-1</v>
      </c>
      <c r="D155" t="s">
        <v>11</v>
      </c>
      <c r="E155" t="s">
        <v>59</v>
      </c>
      <c r="F155">
        <v>149</v>
      </c>
      <c r="G155" t="s">
        <v>60</v>
      </c>
      <c r="H155" s="9" t="s">
        <v>61</v>
      </c>
      <c r="I155" s="9" t="s">
        <v>62</v>
      </c>
      <c r="J155" t="s">
        <v>63</v>
      </c>
    </row>
    <row r="156" spans="1:10">
      <c r="A156">
        <v>2021</v>
      </c>
      <c r="B156" t="s">
        <v>71</v>
      </c>
      <c r="C156" s="3">
        <v>707</v>
      </c>
      <c r="D156" t="s">
        <v>11</v>
      </c>
      <c r="E156" t="s">
        <v>59</v>
      </c>
      <c r="F156">
        <v>149</v>
      </c>
      <c r="G156" t="s">
        <v>60</v>
      </c>
      <c r="H156" s="9" t="s">
        <v>61</v>
      </c>
      <c r="I156" s="9" t="s">
        <v>62</v>
      </c>
      <c r="J156" t="s">
        <v>63</v>
      </c>
    </row>
    <row r="157" spans="1:10">
      <c r="A157">
        <v>2021</v>
      </c>
      <c r="B157" t="s">
        <v>72</v>
      </c>
      <c r="C157" s="3">
        <v>2154</v>
      </c>
      <c r="D157" t="s">
        <v>11</v>
      </c>
      <c r="E157" t="s">
        <v>59</v>
      </c>
      <c r="F157">
        <v>179</v>
      </c>
      <c r="G157" t="s">
        <v>60</v>
      </c>
      <c r="H157" s="9" t="s">
        <v>61</v>
      </c>
      <c r="I157" s="9" t="s">
        <v>62</v>
      </c>
      <c r="J157" t="s">
        <v>63</v>
      </c>
    </row>
    <row r="158" spans="1:10">
      <c r="A158">
        <v>2021</v>
      </c>
      <c r="B158" t="s">
        <v>20</v>
      </c>
      <c r="C158" s="3">
        <v>902</v>
      </c>
      <c r="D158" t="s">
        <v>11</v>
      </c>
      <c r="E158" t="s">
        <v>52</v>
      </c>
      <c r="F158">
        <v>146</v>
      </c>
      <c r="G158" t="s">
        <v>53</v>
      </c>
      <c r="H158" s="9" t="s">
        <v>54</v>
      </c>
      <c r="I158" s="9" t="s">
        <v>55</v>
      </c>
      <c r="J158" t="s">
        <v>56</v>
      </c>
    </row>
    <row r="159" spans="1:10">
      <c r="A159">
        <v>2021</v>
      </c>
      <c r="B159" t="s">
        <v>78</v>
      </c>
      <c r="C159" s="3">
        <v>2285</v>
      </c>
      <c r="D159" t="s">
        <v>11</v>
      </c>
      <c r="E159" t="s">
        <v>59</v>
      </c>
      <c r="F159">
        <v>179</v>
      </c>
      <c r="G159" t="s">
        <v>60</v>
      </c>
      <c r="H159" s="9" t="s">
        <v>61</v>
      </c>
      <c r="I159" s="9" t="s">
        <v>62</v>
      </c>
      <c r="J159" t="s">
        <v>63</v>
      </c>
    </row>
    <row r="160" spans="1:10">
      <c r="A160">
        <v>2021</v>
      </c>
      <c r="B160" t="s">
        <v>79</v>
      </c>
      <c r="C160" s="3">
        <v>-2037</v>
      </c>
      <c r="D160" t="s">
        <v>11</v>
      </c>
      <c r="E160" t="s">
        <v>59</v>
      </c>
      <c r="F160">
        <v>149</v>
      </c>
      <c r="G160" t="s">
        <v>60</v>
      </c>
      <c r="H160" s="9" t="s">
        <v>61</v>
      </c>
      <c r="I160" s="9" t="s">
        <v>62</v>
      </c>
      <c r="J160" t="s">
        <v>63</v>
      </c>
    </row>
    <row r="161" spans="1:10">
      <c r="A161">
        <v>2021</v>
      </c>
      <c r="B161" t="s">
        <v>80</v>
      </c>
      <c r="C161" s="3">
        <v>-5196</v>
      </c>
      <c r="D161" t="s">
        <v>11</v>
      </c>
      <c r="E161" t="s">
        <v>59</v>
      </c>
      <c r="F161">
        <v>149</v>
      </c>
      <c r="G161" t="s">
        <v>60</v>
      </c>
      <c r="H161" s="9" t="s">
        <v>61</v>
      </c>
      <c r="I161" s="9" t="s">
        <v>62</v>
      </c>
      <c r="J161" t="s">
        <v>63</v>
      </c>
    </row>
    <row r="162" spans="1:10">
      <c r="A162">
        <v>2021</v>
      </c>
      <c r="B162" t="s">
        <v>81</v>
      </c>
      <c r="C162" s="3">
        <v>7274</v>
      </c>
      <c r="D162" t="s">
        <v>11</v>
      </c>
      <c r="E162" t="s">
        <v>59</v>
      </c>
      <c r="F162">
        <v>149</v>
      </c>
      <c r="G162" t="s">
        <v>60</v>
      </c>
      <c r="H162" s="9" t="s">
        <v>61</v>
      </c>
      <c r="I162" s="9" t="s">
        <v>62</v>
      </c>
      <c r="J162" t="s">
        <v>63</v>
      </c>
    </row>
    <row r="163" spans="1:10">
      <c r="A163">
        <v>2021</v>
      </c>
      <c r="B163" t="s">
        <v>82</v>
      </c>
      <c r="C163" s="3">
        <v>20298</v>
      </c>
      <c r="D163" t="s">
        <v>11</v>
      </c>
      <c r="E163" t="s">
        <v>59</v>
      </c>
      <c r="F163">
        <v>145</v>
      </c>
      <c r="G163" t="s">
        <v>60</v>
      </c>
      <c r="H163" s="9" t="s">
        <v>61</v>
      </c>
      <c r="I163" s="9" t="s">
        <v>62</v>
      </c>
      <c r="J163" t="s">
        <v>63</v>
      </c>
    </row>
    <row r="164" spans="1:10">
      <c r="A164">
        <v>2021</v>
      </c>
      <c r="B164" t="s">
        <v>83</v>
      </c>
      <c r="C164" s="3">
        <v>1193</v>
      </c>
      <c r="D164" t="s">
        <v>11</v>
      </c>
      <c r="E164" t="s">
        <v>59</v>
      </c>
      <c r="F164">
        <v>148</v>
      </c>
      <c r="G164" t="s">
        <v>60</v>
      </c>
      <c r="H164" s="9" t="s">
        <v>61</v>
      </c>
      <c r="I164" s="9" t="s">
        <v>62</v>
      </c>
      <c r="J164" t="s">
        <v>63</v>
      </c>
    </row>
    <row r="165" spans="1:10">
      <c r="A165">
        <v>2021</v>
      </c>
      <c r="B165" t="s">
        <v>84</v>
      </c>
      <c r="C165" s="3">
        <v>28887</v>
      </c>
      <c r="D165" t="s">
        <v>11</v>
      </c>
      <c r="E165" t="s">
        <v>59</v>
      </c>
      <c r="F165">
        <v>148</v>
      </c>
      <c r="G165" t="s">
        <v>60</v>
      </c>
      <c r="H165" s="9" t="s">
        <v>61</v>
      </c>
      <c r="I165" s="9" t="s">
        <v>62</v>
      </c>
      <c r="J165" t="s">
        <v>63</v>
      </c>
    </row>
    <row r="166" spans="1:10">
      <c r="A166">
        <v>2021</v>
      </c>
      <c r="B166" t="s">
        <v>85</v>
      </c>
      <c r="C166" s="3">
        <v>241.2</v>
      </c>
      <c r="D166" t="s">
        <v>11</v>
      </c>
      <c r="E166" t="s">
        <v>59</v>
      </c>
      <c r="F166">
        <v>148</v>
      </c>
      <c r="G166" t="s">
        <v>60</v>
      </c>
      <c r="H166" s="9" t="s">
        <v>61</v>
      </c>
      <c r="I166" s="9" t="s">
        <v>62</v>
      </c>
      <c r="J166" t="s">
        <v>63</v>
      </c>
    </row>
    <row r="167" spans="1:10">
      <c r="A167">
        <v>2021</v>
      </c>
      <c r="B167" t="s">
        <v>21</v>
      </c>
      <c r="C167" s="3">
        <v>24154</v>
      </c>
      <c r="D167" t="s">
        <v>11</v>
      </c>
      <c r="E167" t="s">
        <v>52</v>
      </c>
      <c r="F167">
        <v>146</v>
      </c>
      <c r="G167" t="s">
        <v>53</v>
      </c>
      <c r="H167" s="9" t="s">
        <v>54</v>
      </c>
      <c r="I167" s="9" t="s">
        <v>55</v>
      </c>
      <c r="J167" t="s">
        <v>56</v>
      </c>
    </row>
    <row r="168" spans="1:10">
      <c r="A168">
        <v>2021</v>
      </c>
      <c r="B168" t="s">
        <v>22</v>
      </c>
      <c r="C168" s="3">
        <v>3911</v>
      </c>
      <c r="D168" t="s">
        <v>11</v>
      </c>
      <c r="E168" t="s">
        <v>52</v>
      </c>
      <c r="F168">
        <v>146</v>
      </c>
      <c r="G168" t="s">
        <v>53</v>
      </c>
      <c r="H168" s="9" t="s">
        <v>54</v>
      </c>
      <c r="I168" s="9" t="s">
        <v>55</v>
      </c>
      <c r="J168" t="s">
        <v>56</v>
      </c>
    </row>
    <row r="169" spans="1:10">
      <c r="A169">
        <v>2021</v>
      </c>
      <c r="B169" t="s">
        <v>23</v>
      </c>
      <c r="C169" s="3">
        <v>3890</v>
      </c>
      <c r="D169" t="s">
        <v>11</v>
      </c>
      <c r="E169" t="s">
        <v>52</v>
      </c>
      <c r="F169">
        <v>146</v>
      </c>
      <c r="G169" t="s">
        <v>53</v>
      </c>
      <c r="H169" s="9" t="s">
        <v>54</v>
      </c>
      <c r="I169" s="9" t="s">
        <v>55</v>
      </c>
      <c r="J169" t="s">
        <v>56</v>
      </c>
    </row>
    <row r="170" spans="1:10">
      <c r="A170">
        <v>2021</v>
      </c>
      <c r="B170" t="s">
        <v>86</v>
      </c>
      <c r="C170" s="3">
        <v>20698</v>
      </c>
      <c r="D170" t="s">
        <v>11</v>
      </c>
      <c r="E170" t="s">
        <v>52</v>
      </c>
      <c r="F170">
        <v>182</v>
      </c>
      <c r="G170" t="s">
        <v>53</v>
      </c>
      <c r="H170" s="9" t="s">
        <v>54</v>
      </c>
      <c r="I170" s="9" t="s">
        <v>55</v>
      </c>
      <c r="J170" t="s">
        <v>56</v>
      </c>
    </row>
    <row r="171" spans="1:10">
      <c r="A171">
        <v>2021</v>
      </c>
      <c r="B171" t="s">
        <v>24</v>
      </c>
      <c r="C171" s="3">
        <v>2542</v>
      </c>
      <c r="D171" t="s">
        <v>11</v>
      </c>
      <c r="E171" t="s">
        <v>52</v>
      </c>
      <c r="F171">
        <v>146</v>
      </c>
      <c r="G171" t="s">
        <v>53</v>
      </c>
      <c r="H171" s="9" t="s">
        <v>54</v>
      </c>
      <c r="I171" s="9" t="s">
        <v>55</v>
      </c>
      <c r="J171" t="s">
        <v>56</v>
      </c>
    </row>
    <row r="172" spans="1:10">
      <c r="A172">
        <v>2021</v>
      </c>
      <c r="B172" t="s">
        <v>87</v>
      </c>
      <c r="C172" s="3">
        <v>5043</v>
      </c>
      <c r="D172" t="s">
        <v>11</v>
      </c>
      <c r="E172" t="s">
        <v>59</v>
      </c>
      <c r="F172">
        <v>145</v>
      </c>
      <c r="G172" t="s">
        <v>60</v>
      </c>
      <c r="H172" s="9" t="s">
        <v>61</v>
      </c>
      <c r="I172" s="9" t="s">
        <v>62</v>
      </c>
      <c r="J172" t="s">
        <v>63</v>
      </c>
    </row>
    <row r="173" spans="1:10">
      <c r="A173">
        <v>2021</v>
      </c>
      <c r="B173" t="s">
        <v>88</v>
      </c>
      <c r="C173" s="3">
        <v>5227</v>
      </c>
      <c r="D173" t="s">
        <v>11</v>
      </c>
      <c r="E173" t="s">
        <v>59</v>
      </c>
      <c r="F173">
        <v>149</v>
      </c>
      <c r="G173" t="s">
        <v>60</v>
      </c>
      <c r="H173" s="9" t="s">
        <v>61</v>
      </c>
      <c r="I173" s="9" t="s">
        <v>62</v>
      </c>
      <c r="J173" t="s">
        <v>63</v>
      </c>
    </row>
    <row r="174" spans="1:10">
      <c r="A174">
        <v>2021</v>
      </c>
      <c r="B174" t="s">
        <v>25</v>
      </c>
      <c r="C174" s="3">
        <v>7290</v>
      </c>
      <c r="D174" t="s">
        <v>11</v>
      </c>
      <c r="E174" t="s">
        <v>52</v>
      </c>
      <c r="F174">
        <v>146</v>
      </c>
      <c r="G174" t="s">
        <v>53</v>
      </c>
      <c r="H174" s="9" t="s">
        <v>54</v>
      </c>
      <c r="I174" s="9" t="s">
        <v>55</v>
      </c>
      <c r="J174" t="s">
        <v>56</v>
      </c>
    </row>
    <row r="175" spans="1:10">
      <c r="A175">
        <v>2021</v>
      </c>
      <c r="B175" t="s">
        <v>89</v>
      </c>
      <c r="C175" s="3">
        <v>739</v>
      </c>
      <c r="D175" t="s">
        <v>11</v>
      </c>
      <c r="E175" t="s">
        <v>59</v>
      </c>
      <c r="F175">
        <v>149</v>
      </c>
      <c r="G175" t="s">
        <v>60</v>
      </c>
      <c r="H175" s="9" t="s">
        <v>61</v>
      </c>
      <c r="I175" s="9" t="s">
        <v>62</v>
      </c>
      <c r="J175" t="s">
        <v>63</v>
      </c>
    </row>
    <row r="176" spans="1:10">
      <c r="A176">
        <v>2021</v>
      </c>
      <c r="B176" t="s">
        <v>90</v>
      </c>
      <c r="C176" s="3">
        <v>0</v>
      </c>
      <c r="D176" t="s">
        <v>11</v>
      </c>
      <c r="E176" t="s">
        <v>59</v>
      </c>
      <c r="F176">
        <v>149</v>
      </c>
      <c r="G176" t="s">
        <v>60</v>
      </c>
      <c r="H176" s="9" t="s">
        <v>61</v>
      </c>
      <c r="I176" s="9" t="s">
        <v>62</v>
      </c>
      <c r="J176" t="s">
        <v>63</v>
      </c>
    </row>
    <row r="177" spans="1:10">
      <c r="A177">
        <v>2021</v>
      </c>
      <c r="B177" t="s">
        <v>26</v>
      </c>
      <c r="C177" s="3">
        <v>289</v>
      </c>
      <c r="D177" t="s">
        <v>11</v>
      </c>
      <c r="E177" t="s">
        <v>52</v>
      </c>
      <c r="F177">
        <v>146</v>
      </c>
      <c r="G177" t="s">
        <v>53</v>
      </c>
      <c r="H177" s="9" t="s">
        <v>54</v>
      </c>
      <c r="I177" s="9" t="s">
        <v>55</v>
      </c>
      <c r="J177" t="s">
        <v>56</v>
      </c>
    </row>
    <row r="178" spans="1:10">
      <c r="A178">
        <v>2021</v>
      </c>
      <c r="B178" t="s">
        <v>91</v>
      </c>
      <c r="C178" s="3">
        <v>31977</v>
      </c>
      <c r="D178" t="s">
        <v>11</v>
      </c>
      <c r="E178" t="s">
        <v>59</v>
      </c>
      <c r="F178">
        <v>179</v>
      </c>
      <c r="G178" t="s">
        <v>60</v>
      </c>
      <c r="H178" s="9" t="s">
        <v>61</v>
      </c>
      <c r="I178" s="9" t="s">
        <v>62</v>
      </c>
      <c r="J178" t="s">
        <v>63</v>
      </c>
    </row>
    <row r="179" spans="1:10">
      <c r="A179">
        <v>2021</v>
      </c>
      <c r="B179" t="s">
        <v>92</v>
      </c>
      <c r="C179" s="3">
        <v>33180</v>
      </c>
      <c r="D179" t="s">
        <v>11</v>
      </c>
      <c r="E179" t="s">
        <v>59</v>
      </c>
      <c r="F179">
        <v>179</v>
      </c>
      <c r="G179" t="s">
        <v>60</v>
      </c>
      <c r="H179" s="9" t="s">
        <v>61</v>
      </c>
      <c r="I179" s="9" t="s">
        <v>62</v>
      </c>
      <c r="J179" t="s">
        <v>63</v>
      </c>
    </row>
    <row r="180" spans="1:10">
      <c r="A180">
        <v>2021</v>
      </c>
      <c r="B180" t="s">
        <v>93</v>
      </c>
      <c r="C180" s="3">
        <v>869</v>
      </c>
      <c r="D180" t="s">
        <v>11</v>
      </c>
      <c r="E180" t="s">
        <v>59</v>
      </c>
      <c r="F180">
        <v>149</v>
      </c>
      <c r="G180" t="s">
        <v>60</v>
      </c>
      <c r="H180" s="9" t="s">
        <v>61</v>
      </c>
      <c r="I180" s="9" t="s">
        <v>62</v>
      </c>
      <c r="J180" t="s">
        <v>63</v>
      </c>
    </row>
    <row r="181" spans="1:10">
      <c r="A181">
        <v>2021</v>
      </c>
      <c r="B181" t="s">
        <v>94</v>
      </c>
      <c r="C181" s="3">
        <v>293</v>
      </c>
      <c r="D181" t="s">
        <v>11</v>
      </c>
      <c r="E181" t="s">
        <v>59</v>
      </c>
      <c r="F181">
        <v>149</v>
      </c>
      <c r="G181" t="s">
        <v>60</v>
      </c>
      <c r="H181" s="9" t="s">
        <v>61</v>
      </c>
      <c r="I181" s="9" t="s">
        <v>62</v>
      </c>
      <c r="J181" t="s">
        <v>63</v>
      </c>
    </row>
    <row r="182" spans="1:10">
      <c r="A182">
        <v>2021</v>
      </c>
      <c r="B182" t="s">
        <v>95</v>
      </c>
      <c r="C182" s="3">
        <v>44</v>
      </c>
      <c r="D182" t="s">
        <v>11</v>
      </c>
      <c r="E182" t="s">
        <v>59</v>
      </c>
      <c r="F182">
        <v>149</v>
      </c>
      <c r="G182" t="s">
        <v>60</v>
      </c>
      <c r="H182" s="9" t="s">
        <v>61</v>
      </c>
      <c r="I182" s="9" t="s">
        <v>62</v>
      </c>
      <c r="J182" t="s">
        <v>63</v>
      </c>
    </row>
    <row r="183" spans="1:10">
      <c r="A183">
        <v>2021</v>
      </c>
      <c r="B183" t="s">
        <v>96</v>
      </c>
      <c r="C183" s="3">
        <v>247</v>
      </c>
      <c r="D183" t="s">
        <v>11</v>
      </c>
      <c r="E183" t="s">
        <v>59</v>
      </c>
      <c r="F183">
        <v>148</v>
      </c>
      <c r="G183" t="s">
        <v>60</v>
      </c>
      <c r="H183" s="9" t="s">
        <v>61</v>
      </c>
      <c r="I183" s="9" t="s">
        <v>62</v>
      </c>
      <c r="J183" t="s">
        <v>63</v>
      </c>
    </row>
    <row r="184" spans="1:10">
      <c r="A184">
        <v>2021</v>
      </c>
      <c r="B184" t="s">
        <v>27</v>
      </c>
      <c r="C184" s="3">
        <v>28887</v>
      </c>
      <c r="D184" t="s">
        <v>11</v>
      </c>
      <c r="E184" t="s">
        <v>52</v>
      </c>
      <c r="F184">
        <v>146</v>
      </c>
      <c r="G184" t="s">
        <v>53</v>
      </c>
      <c r="H184" s="9" t="s">
        <v>54</v>
      </c>
      <c r="I184" s="9" t="s">
        <v>55</v>
      </c>
      <c r="J184" t="s">
        <v>56</v>
      </c>
    </row>
    <row r="185" spans="1:10">
      <c r="A185">
        <v>2021</v>
      </c>
      <c r="B185" t="s">
        <v>97</v>
      </c>
      <c r="C185" s="3">
        <v>2156</v>
      </c>
      <c r="D185" t="s">
        <v>11</v>
      </c>
      <c r="E185" t="s">
        <v>59</v>
      </c>
      <c r="F185">
        <v>148</v>
      </c>
      <c r="G185" t="s">
        <v>60</v>
      </c>
      <c r="H185" s="9" t="s">
        <v>61</v>
      </c>
      <c r="I185" s="9" t="s">
        <v>62</v>
      </c>
      <c r="J185" t="s">
        <v>63</v>
      </c>
    </row>
    <row r="186" spans="1:10">
      <c r="A186">
        <v>2021</v>
      </c>
      <c r="B186" t="s">
        <v>98</v>
      </c>
      <c r="C186" s="3">
        <v>876</v>
      </c>
      <c r="D186" t="s">
        <v>11</v>
      </c>
      <c r="E186" t="s">
        <v>59</v>
      </c>
      <c r="F186">
        <v>148</v>
      </c>
      <c r="G186" t="s">
        <v>60</v>
      </c>
      <c r="H186" s="9" t="s">
        <v>61</v>
      </c>
      <c r="I186" s="9" t="s">
        <v>62</v>
      </c>
      <c r="J186" t="s">
        <v>63</v>
      </c>
    </row>
    <row r="187" spans="1:10">
      <c r="A187">
        <v>2021</v>
      </c>
      <c r="B187" t="s">
        <v>99</v>
      </c>
      <c r="C187" s="3">
        <v>44</v>
      </c>
      <c r="D187" t="s">
        <v>11</v>
      </c>
      <c r="E187" t="s">
        <v>59</v>
      </c>
      <c r="F187">
        <v>148</v>
      </c>
      <c r="G187" t="s">
        <v>60</v>
      </c>
      <c r="H187" s="9" t="s">
        <v>61</v>
      </c>
      <c r="I187" s="9" t="s">
        <v>62</v>
      </c>
      <c r="J187" t="s">
        <v>63</v>
      </c>
    </row>
    <row r="188" spans="1:10">
      <c r="A188">
        <v>2021</v>
      </c>
      <c r="B188" t="s">
        <v>28</v>
      </c>
      <c r="C188" s="3">
        <v>893</v>
      </c>
      <c r="D188" t="s">
        <v>11</v>
      </c>
      <c r="E188" t="s">
        <v>52</v>
      </c>
      <c r="F188">
        <v>146</v>
      </c>
      <c r="G188" t="s">
        <v>53</v>
      </c>
      <c r="H188" s="9" t="s">
        <v>54</v>
      </c>
      <c r="I188" s="9" t="s">
        <v>55</v>
      </c>
      <c r="J188" t="s">
        <v>56</v>
      </c>
    </row>
    <row r="189" spans="1:10">
      <c r="A189">
        <v>2021</v>
      </c>
      <c r="B189" t="s">
        <v>100</v>
      </c>
      <c r="C189" s="3">
        <v>407</v>
      </c>
      <c r="D189" t="s">
        <v>11</v>
      </c>
      <c r="E189" t="s">
        <v>59</v>
      </c>
      <c r="F189">
        <v>149</v>
      </c>
      <c r="G189" t="s">
        <v>60</v>
      </c>
      <c r="H189" s="9" t="s">
        <v>61</v>
      </c>
      <c r="I189" s="9" t="s">
        <v>62</v>
      </c>
      <c r="J189" t="s">
        <v>63</v>
      </c>
    </row>
    <row r="190" spans="1:10">
      <c r="A190">
        <v>2021</v>
      </c>
      <c r="B190" t="s">
        <v>101</v>
      </c>
      <c r="C190" s="3">
        <v>102</v>
      </c>
      <c r="D190" t="s">
        <v>11</v>
      </c>
      <c r="E190" t="s">
        <v>59</v>
      </c>
      <c r="F190">
        <v>149</v>
      </c>
      <c r="G190" t="s">
        <v>60</v>
      </c>
      <c r="H190" s="9" t="s">
        <v>61</v>
      </c>
      <c r="I190" s="9" t="s">
        <v>62</v>
      </c>
      <c r="J190" t="s">
        <v>63</v>
      </c>
    </row>
    <row r="191" spans="1:10">
      <c r="A191">
        <v>2021</v>
      </c>
      <c r="B191" t="s">
        <v>102</v>
      </c>
      <c r="C191" s="3">
        <v>402</v>
      </c>
      <c r="D191" t="s">
        <v>11</v>
      </c>
      <c r="E191" t="s">
        <v>59</v>
      </c>
      <c r="F191">
        <v>145</v>
      </c>
      <c r="G191" t="s">
        <v>60</v>
      </c>
      <c r="H191" s="9" t="s">
        <v>61</v>
      </c>
      <c r="I191" s="9" t="s">
        <v>62</v>
      </c>
      <c r="J191" t="s">
        <v>63</v>
      </c>
    </row>
    <row r="192" spans="1:10">
      <c r="A192">
        <v>2021</v>
      </c>
      <c r="B192" t="s">
        <v>29</v>
      </c>
      <c r="C192" s="3">
        <v>74751</v>
      </c>
      <c r="D192" t="s">
        <v>11</v>
      </c>
      <c r="E192" t="s">
        <v>52</v>
      </c>
      <c r="F192">
        <v>146</v>
      </c>
      <c r="G192" t="s">
        <v>53</v>
      </c>
      <c r="H192" s="9" t="s">
        <v>54</v>
      </c>
      <c r="I192" s="9" t="s">
        <v>55</v>
      </c>
      <c r="J192" t="s">
        <v>56</v>
      </c>
    </row>
    <row r="193" spans="1:10">
      <c r="A193">
        <v>2021</v>
      </c>
      <c r="B193" t="s">
        <v>30</v>
      </c>
      <c r="C193" s="3">
        <v>77810</v>
      </c>
      <c r="D193" t="s">
        <v>11</v>
      </c>
      <c r="E193" t="s">
        <v>52</v>
      </c>
      <c r="F193">
        <v>146</v>
      </c>
      <c r="G193" t="s">
        <v>53</v>
      </c>
      <c r="H193" s="9" t="s">
        <v>54</v>
      </c>
      <c r="I193" s="9" t="s">
        <v>55</v>
      </c>
      <c r="J193" t="s">
        <v>56</v>
      </c>
    </row>
    <row r="194" spans="1:10">
      <c r="A194">
        <v>2021</v>
      </c>
      <c r="B194" t="s">
        <v>103</v>
      </c>
      <c r="C194" s="3">
        <v>8852</v>
      </c>
      <c r="D194" t="s">
        <v>11</v>
      </c>
      <c r="E194" t="s">
        <v>59</v>
      </c>
      <c r="F194">
        <v>149</v>
      </c>
      <c r="G194" t="s">
        <v>60</v>
      </c>
      <c r="H194" s="9" t="s">
        <v>61</v>
      </c>
      <c r="I194" s="9" t="s">
        <v>62</v>
      </c>
      <c r="J194" t="s">
        <v>63</v>
      </c>
    </row>
    <row r="195" spans="1:10">
      <c r="A195">
        <v>2021</v>
      </c>
      <c r="B195" t="s">
        <v>104</v>
      </c>
      <c r="C195" s="3">
        <v>18153</v>
      </c>
      <c r="D195" t="s">
        <v>11</v>
      </c>
      <c r="E195" t="s">
        <v>59</v>
      </c>
      <c r="F195">
        <v>149</v>
      </c>
      <c r="G195" t="s">
        <v>60</v>
      </c>
      <c r="H195" s="9" t="s">
        <v>61</v>
      </c>
      <c r="I195" s="9" t="s">
        <v>62</v>
      </c>
      <c r="J195" t="s">
        <v>63</v>
      </c>
    </row>
    <row r="196" spans="1:10">
      <c r="A196">
        <v>2021</v>
      </c>
      <c r="B196" t="s">
        <v>105</v>
      </c>
      <c r="C196" s="3">
        <v>3165</v>
      </c>
      <c r="D196" t="s">
        <v>11</v>
      </c>
      <c r="E196" t="s">
        <v>59</v>
      </c>
      <c r="F196">
        <v>149</v>
      </c>
      <c r="G196" t="s">
        <v>60</v>
      </c>
      <c r="H196" s="9" t="s">
        <v>61</v>
      </c>
      <c r="I196" s="9" t="s">
        <v>62</v>
      </c>
      <c r="J196" t="s">
        <v>63</v>
      </c>
    </row>
    <row r="197" spans="1:10">
      <c r="A197">
        <v>2021</v>
      </c>
      <c r="B197" t="s">
        <v>106</v>
      </c>
      <c r="C197" s="3">
        <v>4677</v>
      </c>
      <c r="D197" t="s">
        <v>11</v>
      </c>
      <c r="E197" t="s">
        <v>59</v>
      </c>
      <c r="F197">
        <v>145</v>
      </c>
      <c r="G197" t="s">
        <v>60</v>
      </c>
      <c r="H197" s="9" t="s">
        <v>61</v>
      </c>
      <c r="I197" s="9" t="s">
        <v>62</v>
      </c>
      <c r="J197" t="s">
        <v>63</v>
      </c>
    </row>
    <row r="198" spans="1:10">
      <c r="A198">
        <v>2021</v>
      </c>
      <c r="B198" t="s">
        <v>31</v>
      </c>
      <c r="C198" s="3">
        <v>4008</v>
      </c>
      <c r="D198" t="s">
        <v>11</v>
      </c>
      <c r="E198" t="s">
        <v>52</v>
      </c>
      <c r="F198">
        <v>146</v>
      </c>
      <c r="G198" t="s">
        <v>53</v>
      </c>
      <c r="H198" s="9" t="s">
        <v>54</v>
      </c>
      <c r="I198" s="9" t="s">
        <v>55</v>
      </c>
      <c r="J198" t="s">
        <v>56</v>
      </c>
    </row>
    <row r="199" spans="1:10">
      <c r="A199">
        <v>2021</v>
      </c>
      <c r="B199" t="s">
        <v>107</v>
      </c>
      <c r="C199" s="3">
        <v>33009</v>
      </c>
      <c r="D199" t="s">
        <v>37</v>
      </c>
      <c r="E199" t="s">
        <v>59</v>
      </c>
      <c r="F199">
        <v>179</v>
      </c>
      <c r="G199" t="s">
        <v>60</v>
      </c>
      <c r="H199" s="9" t="s">
        <v>61</v>
      </c>
      <c r="I199" s="9" t="s">
        <v>62</v>
      </c>
      <c r="J199" t="s">
        <v>63</v>
      </c>
    </row>
    <row r="200" spans="1:10">
      <c r="A200">
        <v>2021</v>
      </c>
      <c r="B200" t="s">
        <v>32</v>
      </c>
      <c r="C200" s="3">
        <v>56897</v>
      </c>
      <c r="D200" t="s">
        <v>11</v>
      </c>
      <c r="E200" t="s">
        <v>52</v>
      </c>
      <c r="F200">
        <v>182</v>
      </c>
      <c r="G200" t="s">
        <v>53</v>
      </c>
      <c r="H200" s="9" t="s">
        <v>54</v>
      </c>
      <c r="I200" s="9" t="s">
        <v>55</v>
      </c>
      <c r="J200" t="s">
        <v>56</v>
      </c>
    </row>
    <row r="201" spans="1:10">
      <c r="A201">
        <v>2021</v>
      </c>
      <c r="B201" t="s">
        <v>33</v>
      </c>
      <c r="C201" s="3">
        <v>16469</v>
      </c>
      <c r="D201" t="s">
        <v>11</v>
      </c>
      <c r="E201" t="s">
        <v>52</v>
      </c>
      <c r="F201">
        <v>146</v>
      </c>
      <c r="G201" t="s">
        <v>53</v>
      </c>
      <c r="H201" s="9" t="s">
        <v>54</v>
      </c>
      <c r="I201" s="9" t="s">
        <v>55</v>
      </c>
      <c r="J201" t="s">
        <v>56</v>
      </c>
    </row>
    <row r="202" spans="1:10">
      <c r="A202">
        <v>2021</v>
      </c>
      <c r="B202" t="s">
        <v>108</v>
      </c>
      <c r="C202" s="3">
        <v>34244</v>
      </c>
      <c r="D202" t="s">
        <v>37</v>
      </c>
      <c r="E202" t="s">
        <v>59</v>
      </c>
      <c r="F202">
        <v>179</v>
      </c>
      <c r="G202" t="s">
        <v>60</v>
      </c>
      <c r="H202" s="9" t="s">
        <v>61</v>
      </c>
      <c r="I202" s="9" t="s">
        <v>62</v>
      </c>
      <c r="J202" t="s">
        <v>63</v>
      </c>
    </row>
    <row r="203" spans="1:10">
      <c r="A203">
        <v>2021</v>
      </c>
      <c r="B203" t="s">
        <v>34</v>
      </c>
      <c r="C203" s="3">
        <v>306</v>
      </c>
      <c r="D203" t="s">
        <v>11</v>
      </c>
      <c r="E203" t="s">
        <v>52</v>
      </c>
      <c r="F203">
        <v>146</v>
      </c>
      <c r="G203" t="s">
        <v>53</v>
      </c>
      <c r="H203" s="9" t="s">
        <v>54</v>
      </c>
      <c r="I203" s="9" t="s">
        <v>55</v>
      </c>
      <c r="J203" t="s">
        <v>56</v>
      </c>
    </row>
    <row r="204" spans="1:10">
      <c r="A204">
        <v>2021</v>
      </c>
      <c r="B204" t="s">
        <v>109</v>
      </c>
      <c r="C204" s="3">
        <v>340</v>
      </c>
      <c r="D204" t="s">
        <v>11</v>
      </c>
      <c r="E204" t="s">
        <v>59</v>
      </c>
      <c r="F204">
        <v>145</v>
      </c>
      <c r="G204" t="s">
        <v>60</v>
      </c>
      <c r="H204" s="9" t="s">
        <v>61</v>
      </c>
      <c r="I204" s="9" t="s">
        <v>62</v>
      </c>
      <c r="J204" t="s">
        <v>63</v>
      </c>
    </row>
    <row r="205" spans="1:10">
      <c r="A205">
        <v>2021</v>
      </c>
      <c r="B205" t="s">
        <v>110</v>
      </c>
      <c r="C205" s="3">
        <v>3033</v>
      </c>
      <c r="D205" t="s">
        <v>11</v>
      </c>
      <c r="E205" t="s">
        <v>59</v>
      </c>
      <c r="F205">
        <v>145</v>
      </c>
      <c r="G205" t="s">
        <v>60</v>
      </c>
      <c r="H205" s="9" t="s">
        <v>61</v>
      </c>
      <c r="I205" s="9" t="s">
        <v>62</v>
      </c>
      <c r="J205" t="s">
        <v>63</v>
      </c>
    </row>
    <row r="206" spans="1:10">
      <c r="A206">
        <v>2021</v>
      </c>
      <c r="B206" t="s">
        <v>111</v>
      </c>
      <c r="C206" s="3">
        <v>30855</v>
      </c>
      <c r="D206" t="s">
        <v>11</v>
      </c>
      <c r="E206" t="s">
        <v>59</v>
      </c>
      <c r="F206">
        <v>179</v>
      </c>
      <c r="G206" t="s">
        <v>60</v>
      </c>
      <c r="H206" s="9" t="s">
        <v>61</v>
      </c>
      <c r="I206" s="9" t="s">
        <v>62</v>
      </c>
      <c r="J206" t="s">
        <v>63</v>
      </c>
    </row>
    <row r="207" spans="1:10">
      <c r="A207">
        <v>2021</v>
      </c>
      <c r="B207" t="s">
        <v>112</v>
      </c>
      <c r="C207" s="3">
        <v>3662</v>
      </c>
      <c r="D207" t="s">
        <v>11</v>
      </c>
      <c r="E207" t="s">
        <v>59</v>
      </c>
      <c r="F207">
        <v>145</v>
      </c>
      <c r="G207" t="s">
        <v>60</v>
      </c>
      <c r="H207" s="9" t="s">
        <v>61</v>
      </c>
      <c r="I207" s="9" t="s">
        <v>62</v>
      </c>
      <c r="J207" t="s">
        <v>63</v>
      </c>
    </row>
    <row r="208" spans="1:10">
      <c r="A208">
        <v>2021</v>
      </c>
      <c r="B208" t="s">
        <v>35</v>
      </c>
      <c r="C208" s="3">
        <v>48688</v>
      </c>
      <c r="D208" t="s">
        <v>11</v>
      </c>
      <c r="E208" t="s">
        <v>52</v>
      </c>
      <c r="F208">
        <v>182</v>
      </c>
      <c r="G208" t="s">
        <v>53</v>
      </c>
      <c r="H208" s="9" t="s">
        <v>54</v>
      </c>
      <c r="I208" s="9" t="s">
        <v>55</v>
      </c>
      <c r="J208" t="s">
        <v>56</v>
      </c>
    </row>
    <row r="209" spans="1:10">
      <c r="A209">
        <v>2021</v>
      </c>
      <c r="B209" t="s">
        <v>36</v>
      </c>
      <c r="C209" s="3">
        <v>15567</v>
      </c>
      <c r="D209" t="s">
        <v>37</v>
      </c>
      <c r="E209" t="s">
        <v>52</v>
      </c>
      <c r="F209">
        <v>146</v>
      </c>
      <c r="G209" t="s">
        <v>53</v>
      </c>
      <c r="H209" s="9" t="s">
        <v>54</v>
      </c>
      <c r="I209" s="9" t="s">
        <v>55</v>
      </c>
      <c r="J209" t="s">
        <v>56</v>
      </c>
    </row>
    <row r="210" spans="1:10">
      <c r="A210">
        <v>2021</v>
      </c>
      <c r="B210" t="s">
        <v>113</v>
      </c>
      <c r="C210" s="3">
        <v>31959</v>
      </c>
      <c r="D210" t="s">
        <v>11</v>
      </c>
      <c r="E210" t="s">
        <v>59</v>
      </c>
      <c r="F210">
        <v>179</v>
      </c>
      <c r="G210" t="s">
        <v>60</v>
      </c>
      <c r="H210" s="9" t="s">
        <v>61</v>
      </c>
      <c r="I210" s="9" t="s">
        <v>62</v>
      </c>
      <c r="J210" t="s">
        <v>63</v>
      </c>
    </row>
    <row r="211" spans="1:10">
      <c r="A211">
        <v>2021</v>
      </c>
      <c r="B211" t="s">
        <v>114</v>
      </c>
      <c r="C211" s="3">
        <v>29201</v>
      </c>
      <c r="D211" t="s">
        <v>37</v>
      </c>
      <c r="E211" t="s">
        <v>59</v>
      </c>
      <c r="F211">
        <v>148</v>
      </c>
      <c r="G211" t="s">
        <v>60</v>
      </c>
      <c r="H211" s="9" t="s">
        <v>61</v>
      </c>
      <c r="I211" s="9" t="s">
        <v>62</v>
      </c>
      <c r="J211" t="s">
        <v>63</v>
      </c>
    </row>
    <row r="212" spans="1:10">
      <c r="A212">
        <v>2021</v>
      </c>
      <c r="B212" t="s">
        <v>38</v>
      </c>
      <c r="C212" s="3">
        <v>3530</v>
      </c>
      <c r="D212" t="s">
        <v>11</v>
      </c>
      <c r="E212" t="s">
        <v>52</v>
      </c>
      <c r="F212">
        <v>146</v>
      </c>
      <c r="G212" t="s">
        <v>53</v>
      </c>
      <c r="H212" s="9" t="s">
        <v>54</v>
      </c>
      <c r="I212" s="9" t="s">
        <v>55</v>
      </c>
      <c r="J212" t="s">
        <v>56</v>
      </c>
    </row>
    <row r="213" spans="1:10">
      <c r="A213">
        <v>2021</v>
      </c>
      <c r="B213" t="s">
        <v>115</v>
      </c>
      <c r="C213" s="3">
        <v>520</v>
      </c>
      <c r="D213" t="s">
        <v>11</v>
      </c>
      <c r="E213" t="s">
        <v>59</v>
      </c>
      <c r="F213">
        <v>149</v>
      </c>
      <c r="G213" t="s">
        <v>60</v>
      </c>
      <c r="H213" s="9" t="s">
        <v>61</v>
      </c>
      <c r="I213" s="9" t="s">
        <v>62</v>
      </c>
      <c r="J213" t="s">
        <v>63</v>
      </c>
    </row>
    <row r="214" spans="1:10">
      <c r="A214">
        <v>2021</v>
      </c>
      <c r="B214" t="s">
        <v>116</v>
      </c>
      <c r="C214" s="3">
        <v>427</v>
      </c>
      <c r="D214" t="s">
        <v>11</v>
      </c>
      <c r="E214" t="s">
        <v>59</v>
      </c>
      <c r="F214">
        <v>149</v>
      </c>
      <c r="G214" t="s">
        <v>60</v>
      </c>
      <c r="H214" s="9" t="s">
        <v>61</v>
      </c>
      <c r="I214" s="9" t="s">
        <v>62</v>
      </c>
      <c r="J214" t="s">
        <v>63</v>
      </c>
    </row>
    <row r="215" spans="1:10">
      <c r="A215">
        <v>2021</v>
      </c>
      <c r="B215" t="s">
        <v>39</v>
      </c>
      <c r="C215" s="3">
        <v>3857</v>
      </c>
      <c r="D215" t="s">
        <v>11</v>
      </c>
      <c r="E215" t="s">
        <v>52</v>
      </c>
      <c r="F215">
        <v>146</v>
      </c>
      <c r="G215" t="s">
        <v>53</v>
      </c>
      <c r="H215" s="9" t="s">
        <v>54</v>
      </c>
      <c r="I215" s="9" t="s">
        <v>55</v>
      </c>
      <c r="J215" t="s">
        <v>56</v>
      </c>
    </row>
    <row r="216" spans="1:10">
      <c r="A216">
        <v>2021</v>
      </c>
      <c r="B216" t="s">
        <v>40</v>
      </c>
      <c r="C216" s="3">
        <v>6329</v>
      </c>
      <c r="D216" t="s">
        <v>11</v>
      </c>
      <c r="E216" t="s">
        <v>52</v>
      </c>
      <c r="F216">
        <v>146</v>
      </c>
      <c r="G216" t="s">
        <v>53</v>
      </c>
      <c r="H216" s="9" t="s">
        <v>54</v>
      </c>
      <c r="I216" s="9" t="s">
        <v>55</v>
      </c>
      <c r="J216" t="s">
        <v>56</v>
      </c>
    </row>
    <row r="217" spans="1:10">
      <c r="A217">
        <v>2021</v>
      </c>
      <c r="B217" t="s">
        <v>117</v>
      </c>
      <c r="C217" s="3">
        <v>355</v>
      </c>
      <c r="D217" t="s">
        <v>11</v>
      </c>
      <c r="E217" t="s">
        <v>59</v>
      </c>
      <c r="F217">
        <v>145</v>
      </c>
      <c r="G217" t="s">
        <v>60</v>
      </c>
      <c r="H217" s="9" t="s">
        <v>61</v>
      </c>
      <c r="I217" s="9" t="s">
        <v>62</v>
      </c>
      <c r="J217" t="s">
        <v>63</v>
      </c>
    </row>
    <row r="218" spans="1:10">
      <c r="A218">
        <v>2021</v>
      </c>
      <c r="B218" t="s">
        <v>118</v>
      </c>
      <c r="C218" s="3">
        <v>8401</v>
      </c>
      <c r="D218" t="s">
        <v>11</v>
      </c>
      <c r="E218" t="s">
        <v>52</v>
      </c>
      <c r="F218">
        <v>182</v>
      </c>
      <c r="G218" t="s">
        <v>53</v>
      </c>
      <c r="H218" s="9" t="s">
        <v>54</v>
      </c>
      <c r="I218" s="9" t="s">
        <v>55</v>
      </c>
      <c r="J218" t="s">
        <v>56</v>
      </c>
    </row>
    <row r="219" spans="1:10">
      <c r="A219">
        <v>2021</v>
      </c>
      <c r="B219" t="s">
        <v>119</v>
      </c>
      <c r="C219" s="3">
        <v>9470</v>
      </c>
      <c r="D219" t="s">
        <v>11</v>
      </c>
      <c r="E219" t="s">
        <v>52</v>
      </c>
      <c r="F219">
        <v>182</v>
      </c>
      <c r="G219" t="s">
        <v>53</v>
      </c>
      <c r="H219" s="9" t="s">
        <v>54</v>
      </c>
      <c r="I219" s="9" t="s">
        <v>55</v>
      </c>
      <c r="J219" t="s">
        <v>56</v>
      </c>
    </row>
    <row r="220" spans="1:10">
      <c r="A220">
        <v>2021</v>
      </c>
      <c r="B220" t="s">
        <v>41</v>
      </c>
      <c r="C220" s="3">
        <v>8085</v>
      </c>
      <c r="D220" t="s">
        <v>11</v>
      </c>
      <c r="E220" t="s">
        <v>52</v>
      </c>
      <c r="F220">
        <v>146</v>
      </c>
      <c r="G220" t="s">
        <v>53</v>
      </c>
      <c r="H220" s="9" t="s">
        <v>54</v>
      </c>
      <c r="I220" s="9" t="s">
        <v>55</v>
      </c>
      <c r="J220" t="s">
        <v>56</v>
      </c>
    </row>
    <row r="221" spans="1:10">
      <c r="A221">
        <v>2021</v>
      </c>
      <c r="B221" t="s">
        <v>120</v>
      </c>
      <c r="C221" s="3">
        <v>4458</v>
      </c>
      <c r="D221" t="s">
        <v>11</v>
      </c>
      <c r="E221" t="s">
        <v>59</v>
      </c>
      <c r="F221">
        <v>145</v>
      </c>
      <c r="G221" t="s">
        <v>60</v>
      </c>
      <c r="H221" s="9" t="s">
        <v>61</v>
      </c>
      <c r="I221" s="9" t="s">
        <v>62</v>
      </c>
      <c r="J221" t="s">
        <v>63</v>
      </c>
    </row>
    <row r="222" spans="1:10">
      <c r="A222">
        <v>2021</v>
      </c>
      <c r="B222" t="s">
        <v>42</v>
      </c>
      <c r="C222" s="3">
        <v>979</v>
      </c>
      <c r="D222" t="s">
        <v>11</v>
      </c>
      <c r="E222" t="s">
        <v>52</v>
      </c>
      <c r="F222">
        <v>146</v>
      </c>
      <c r="G222" t="s">
        <v>53</v>
      </c>
      <c r="H222" s="9" t="s">
        <v>54</v>
      </c>
      <c r="I222" s="9" t="s">
        <v>55</v>
      </c>
      <c r="J222" t="s">
        <v>56</v>
      </c>
    </row>
    <row r="223" spans="1:10">
      <c r="A223">
        <v>2021</v>
      </c>
      <c r="B223" t="s">
        <v>121</v>
      </c>
      <c r="C223" s="3">
        <v>28</v>
      </c>
      <c r="D223" t="s">
        <v>11</v>
      </c>
      <c r="E223" t="s">
        <v>59</v>
      </c>
      <c r="F223">
        <v>149</v>
      </c>
      <c r="G223" t="s">
        <v>60</v>
      </c>
      <c r="H223" s="9" t="s">
        <v>61</v>
      </c>
      <c r="I223" s="9" t="s">
        <v>62</v>
      </c>
      <c r="J223" t="s">
        <v>63</v>
      </c>
    </row>
    <row r="224" spans="1:10">
      <c r="A224">
        <v>2021</v>
      </c>
      <c r="B224" t="s">
        <v>122</v>
      </c>
      <c r="C224" s="3">
        <v>31</v>
      </c>
      <c r="D224" t="s">
        <v>11</v>
      </c>
      <c r="E224" t="s">
        <v>59</v>
      </c>
      <c r="F224">
        <v>149</v>
      </c>
      <c r="G224" t="s">
        <v>60</v>
      </c>
      <c r="H224" s="9" t="s">
        <v>61</v>
      </c>
      <c r="I224" s="9" t="s">
        <v>62</v>
      </c>
      <c r="J224" t="s">
        <v>63</v>
      </c>
    </row>
    <row r="225" spans="1:10">
      <c r="A225">
        <v>2021</v>
      </c>
      <c r="B225" t="s">
        <v>123</v>
      </c>
      <c r="C225" s="3">
        <v>171</v>
      </c>
      <c r="D225" t="s">
        <v>11</v>
      </c>
      <c r="E225" t="s">
        <v>59</v>
      </c>
      <c r="F225">
        <v>145</v>
      </c>
      <c r="G225" t="s">
        <v>60</v>
      </c>
      <c r="H225" s="9" t="s">
        <v>61</v>
      </c>
      <c r="I225" s="9" t="s">
        <v>62</v>
      </c>
      <c r="J225" t="s">
        <v>63</v>
      </c>
    </row>
    <row r="226" spans="1:10">
      <c r="A226">
        <v>2021</v>
      </c>
      <c r="B226" t="s">
        <v>43</v>
      </c>
      <c r="C226" s="3">
        <v>384</v>
      </c>
      <c r="D226" t="s">
        <v>11</v>
      </c>
      <c r="E226" t="s">
        <v>52</v>
      </c>
      <c r="F226">
        <v>146</v>
      </c>
      <c r="G226" t="s">
        <v>53</v>
      </c>
      <c r="H226" s="9" t="s">
        <v>54</v>
      </c>
      <c r="I226" s="9" t="s">
        <v>55</v>
      </c>
      <c r="J226" t="s">
        <v>56</v>
      </c>
    </row>
    <row r="227" spans="1:10">
      <c r="A227">
        <v>2021</v>
      </c>
      <c r="B227" t="s">
        <v>124</v>
      </c>
      <c r="C227" s="3">
        <v>46357</v>
      </c>
      <c r="D227" t="s">
        <v>11</v>
      </c>
      <c r="E227" t="s">
        <v>52</v>
      </c>
      <c r="F227">
        <v>182</v>
      </c>
      <c r="G227" t="s">
        <v>53</v>
      </c>
      <c r="H227" s="9" t="s">
        <v>54</v>
      </c>
      <c r="I227" s="9" t="s">
        <v>55</v>
      </c>
      <c r="J227" t="s">
        <v>56</v>
      </c>
    </row>
    <row r="228" spans="1:10">
      <c r="A228">
        <v>2021</v>
      </c>
      <c r="B228" t="s">
        <v>125</v>
      </c>
      <c r="C228" s="3">
        <v>20214</v>
      </c>
      <c r="D228" t="s">
        <v>11</v>
      </c>
      <c r="E228" t="s">
        <v>52</v>
      </c>
      <c r="F228">
        <v>182</v>
      </c>
      <c r="G228" t="s">
        <v>53</v>
      </c>
      <c r="H228" s="9" t="s">
        <v>54</v>
      </c>
      <c r="I228" s="9" t="s">
        <v>55</v>
      </c>
      <c r="J228" t="s">
        <v>56</v>
      </c>
    </row>
    <row r="229" spans="1:10">
      <c r="A229">
        <v>2021</v>
      </c>
      <c r="B229" t="s">
        <v>126</v>
      </c>
      <c r="C229" s="3">
        <v>17871</v>
      </c>
      <c r="D229" t="s">
        <v>11</v>
      </c>
      <c r="E229" t="s">
        <v>52</v>
      </c>
      <c r="F229">
        <v>182</v>
      </c>
      <c r="G229" t="s">
        <v>53</v>
      </c>
      <c r="H229" s="9" t="s">
        <v>54</v>
      </c>
      <c r="I229" s="9" t="s">
        <v>55</v>
      </c>
      <c r="J229" t="s">
        <v>56</v>
      </c>
    </row>
    <row r="230" spans="1:10">
      <c r="A230">
        <v>2021</v>
      </c>
      <c r="B230" t="s">
        <v>127</v>
      </c>
      <c r="C230" s="3">
        <v>-12</v>
      </c>
      <c r="D230" t="s">
        <v>11</v>
      </c>
      <c r="E230" t="s">
        <v>52</v>
      </c>
      <c r="F230">
        <v>182</v>
      </c>
      <c r="G230" t="s">
        <v>53</v>
      </c>
      <c r="H230" s="9" t="s">
        <v>54</v>
      </c>
      <c r="I230" s="9" t="s">
        <v>55</v>
      </c>
      <c r="J230" t="s">
        <v>56</v>
      </c>
    </row>
    <row r="231" spans="1:10">
      <c r="A231">
        <v>2021</v>
      </c>
      <c r="B231" t="s">
        <v>128</v>
      </c>
      <c r="C231" s="3">
        <v>-484</v>
      </c>
      <c r="D231" t="s">
        <v>11</v>
      </c>
      <c r="E231" t="s">
        <v>52</v>
      </c>
      <c r="F231">
        <v>182</v>
      </c>
      <c r="G231" t="s">
        <v>53</v>
      </c>
      <c r="H231" s="9" t="s">
        <v>54</v>
      </c>
      <c r="I231" s="9" t="s">
        <v>55</v>
      </c>
      <c r="J231" t="s">
        <v>56</v>
      </c>
    </row>
    <row r="232" spans="1:10">
      <c r="A232">
        <v>2021</v>
      </c>
      <c r="B232" t="s">
        <v>129</v>
      </c>
      <c r="C232" s="3">
        <v>20214</v>
      </c>
      <c r="D232" t="s">
        <v>37</v>
      </c>
      <c r="E232" t="s">
        <v>52</v>
      </c>
      <c r="F232">
        <v>182</v>
      </c>
      <c r="G232" t="s">
        <v>53</v>
      </c>
      <c r="H232" s="9" t="s">
        <v>54</v>
      </c>
      <c r="I232" s="9" t="s">
        <v>55</v>
      </c>
      <c r="J232" t="s">
        <v>56</v>
      </c>
    </row>
    <row r="233" spans="1:10">
      <c r="A233">
        <v>2021</v>
      </c>
      <c r="B233" t="s">
        <v>44</v>
      </c>
      <c r="C233" s="3">
        <v>41555</v>
      </c>
      <c r="D233" t="s">
        <v>11</v>
      </c>
      <c r="E233" t="s">
        <v>52</v>
      </c>
      <c r="F233">
        <v>146</v>
      </c>
      <c r="G233" t="s">
        <v>53</v>
      </c>
      <c r="H233" s="9" t="s">
        <v>54</v>
      </c>
      <c r="I233" s="9" t="s">
        <v>55</v>
      </c>
      <c r="J233" t="s">
        <v>56</v>
      </c>
    </row>
    <row r="234" spans="1:10">
      <c r="A234">
        <v>2021</v>
      </c>
      <c r="B234" t="s">
        <v>130</v>
      </c>
      <c r="C234" s="3">
        <v>-2</v>
      </c>
      <c r="D234" t="s">
        <v>11</v>
      </c>
      <c r="E234" t="s">
        <v>59</v>
      </c>
      <c r="F234">
        <v>148</v>
      </c>
      <c r="G234" t="s">
        <v>60</v>
      </c>
      <c r="H234" s="9" t="s">
        <v>61</v>
      </c>
      <c r="I234" s="9" t="s">
        <v>62</v>
      </c>
      <c r="J234" t="s">
        <v>63</v>
      </c>
    </row>
    <row r="235" spans="1:10">
      <c r="A235">
        <v>2021</v>
      </c>
      <c r="B235" t="s">
        <v>131</v>
      </c>
      <c r="C235" s="3">
        <v>2156</v>
      </c>
      <c r="D235" t="s">
        <v>11</v>
      </c>
      <c r="E235" t="s">
        <v>59</v>
      </c>
      <c r="F235">
        <v>149</v>
      </c>
      <c r="G235" t="s">
        <v>60</v>
      </c>
      <c r="H235" s="9" t="s">
        <v>61</v>
      </c>
      <c r="I235" s="9" t="s">
        <v>62</v>
      </c>
      <c r="J235" t="s">
        <v>63</v>
      </c>
    </row>
    <row r="236" spans="1:10">
      <c r="A236">
        <v>2021</v>
      </c>
      <c r="B236" t="s">
        <v>45</v>
      </c>
      <c r="C236" s="3">
        <v>3836</v>
      </c>
      <c r="D236" t="s">
        <v>11</v>
      </c>
      <c r="E236" t="s">
        <v>52</v>
      </c>
      <c r="F236">
        <v>146</v>
      </c>
      <c r="G236" t="s">
        <v>53</v>
      </c>
      <c r="H236" s="9" t="s">
        <v>54</v>
      </c>
      <c r="I236" s="9" t="s">
        <v>55</v>
      </c>
      <c r="J236" t="s">
        <v>56</v>
      </c>
    </row>
    <row r="237" spans="1:10">
      <c r="A237">
        <v>2021</v>
      </c>
      <c r="B237" t="s">
        <v>132</v>
      </c>
      <c r="C237" s="3">
        <v>1671</v>
      </c>
      <c r="D237" t="s">
        <v>11</v>
      </c>
      <c r="E237" t="s">
        <v>59</v>
      </c>
      <c r="F237">
        <v>149</v>
      </c>
      <c r="G237" t="s">
        <v>60</v>
      </c>
      <c r="H237" s="9" t="s">
        <v>61</v>
      </c>
      <c r="I237" s="9" t="s">
        <v>62</v>
      </c>
      <c r="J237" t="s">
        <v>63</v>
      </c>
    </row>
    <row r="238" spans="1:10">
      <c r="A238">
        <v>2021</v>
      </c>
      <c r="B238" t="s">
        <v>133</v>
      </c>
      <c r="C238" s="3">
        <v>164</v>
      </c>
      <c r="D238" t="s">
        <v>11</v>
      </c>
      <c r="E238" t="s">
        <v>59</v>
      </c>
      <c r="F238">
        <v>148</v>
      </c>
      <c r="G238" t="s">
        <v>60</v>
      </c>
      <c r="H238" s="9" t="s">
        <v>61</v>
      </c>
      <c r="I238" s="9" t="s">
        <v>62</v>
      </c>
      <c r="J238" t="s">
        <v>63</v>
      </c>
    </row>
    <row r="239" spans="1:10">
      <c r="A239">
        <v>2021</v>
      </c>
      <c r="B239" t="s">
        <v>134</v>
      </c>
      <c r="C239" s="3">
        <v>796</v>
      </c>
      <c r="D239" t="s">
        <v>11</v>
      </c>
      <c r="E239" t="s">
        <v>59</v>
      </c>
      <c r="F239">
        <v>145</v>
      </c>
      <c r="G239" t="s">
        <v>60</v>
      </c>
      <c r="H239" s="9" t="s">
        <v>61</v>
      </c>
      <c r="I239" s="9" t="s">
        <v>62</v>
      </c>
      <c r="J239" t="s">
        <v>63</v>
      </c>
    </row>
    <row r="240" spans="1:10">
      <c r="A240">
        <v>2021</v>
      </c>
      <c r="B240" t="s">
        <v>46</v>
      </c>
      <c r="C240" s="3">
        <v>120466</v>
      </c>
      <c r="D240" t="s">
        <v>11</v>
      </c>
      <c r="E240" t="s">
        <v>52</v>
      </c>
      <c r="F240">
        <v>146</v>
      </c>
      <c r="G240" t="s">
        <v>53</v>
      </c>
      <c r="H240" s="9" t="s">
        <v>54</v>
      </c>
      <c r="I240" s="9" t="s">
        <v>55</v>
      </c>
      <c r="J240" t="s">
        <v>56</v>
      </c>
    </row>
    <row r="241" spans="1:10">
      <c r="A241">
        <v>2021</v>
      </c>
      <c r="B241" t="s">
        <v>135</v>
      </c>
      <c r="C241" s="3">
        <v>30358</v>
      </c>
      <c r="D241" t="s">
        <v>11</v>
      </c>
      <c r="E241" t="s">
        <v>59</v>
      </c>
      <c r="F241">
        <v>145</v>
      </c>
      <c r="G241" t="s">
        <v>60</v>
      </c>
      <c r="H241" s="9" t="s">
        <v>61</v>
      </c>
      <c r="I241" s="9" t="s">
        <v>62</v>
      </c>
      <c r="J241" t="s">
        <v>63</v>
      </c>
    </row>
    <row r="242" spans="1:10">
      <c r="A242">
        <v>2021</v>
      </c>
      <c r="B242" t="s">
        <v>47</v>
      </c>
      <c r="C242" s="3">
        <v>87375</v>
      </c>
      <c r="D242" t="s">
        <v>11</v>
      </c>
      <c r="E242" t="s">
        <v>52</v>
      </c>
      <c r="F242">
        <v>146</v>
      </c>
      <c r="G242" t="s">
        <v>53</v>
      </c>
      <c r="H242" s="9" t="s">
        <v>54</v>
      </c>
      <c r="I242" s="9" t="s">
        <v>55</v>
      </c>
      <c r="J242" t="s">
        <v>56</v>
      </c>
    </row>
    <row r="243" spans="1:10">
      <c r="A243">
        <v>2021</v>
      </c>
      <c r="B243" t="s">
        <v>48</v>
      </c>
      <c r="C243" s="3">
        <v>91579</v>
      </c>
      <c r="D243" t="s">
        <v>11</v>
      </c>
      <c r="E243" t="s">
        <v>52</v>
      </c>
      <c r="F243">
        <v>146</v>
      </c>
      <c r="G243" t="s">
        <v>53</v>
      </c>
      <c r="H243" s="9" t="s">
        <v>54</v>
      </c>
      <c r="I243" s="9" t="s">
        <v>55</v>
      </c>
      <c r="J243" t="s">
        <v>56</v>
      </c>
    </row>
    <row r="244" spans="1:10">
      <c r="A244">
        <v>2021</v>
      </c>
      <c r="B244" t="s">
        <v>136</v>
      </c>
      <c r="C244" s="3">
        <v>-1309</v>
      </c>
      <c r="D244" t="s">
        <v>11</v>
      </c>
      <c r="E244" t="s">
        <v>59</v>
      </c>
      <c r="F244">
        <v>148</v>
      </c>
      <c r="G244" t="s">
        <v>60</v>
      </c>
      <c r="H244" s="9" t="s">
        <v>61</v>
      </c>
      <c r="I244" s="9" t="s">
        <v>62</v>
      </c>
      <c r="J244" t="s">
        <v>63</v>
      </c>
    </row>
    <row r="245" spans="1:10">
      <c r="A245">
        <v>2021</v>
      </c>
      <c r="B245" t="s">
        <v>49</v>
      </c>
      <c r="C245" s="3">
        <v>8452</v>
      </c>
      <c r="D245" t="s">
        <v>11</v>
      </c>
      <c r="E245" t="s">
        <v>52</v>
      </c>
      <c r="F245">
        <v>146</v>
      </c>
      <c r="G245" t="s">
        <v>53</v>
      </c>
      <c r="H245" s="9" t="s">
        <v>54</v>
      </c>
      <c r="I245" s="9" t="s">
        <v>55</v>
      </c>
      <c r="J245" t="s">
        <v>56</v>
      </c>
    </row>
    <row r="246" spans="1:10">
      <c r="A246">
        <v>2021</v>
      </c>
      <c r="B246" t="s">
        <v>137</v>
      </c>
      <c r="C246" s="3">
        <v>34816</v>
      </c>
      <c r="D246" t="s">
        <v>11</v>
      </c>
      <c r="E246" t="s">
        <v>59</v>
      </c>
      <c r="F246">
        <v>145</v>
      </c>
      <c r="G246" t="s">
        <v>60</v>
      </c>
      <c r="H246" s="9" t="s">
        <v>61</v>
      </c>
      <c r="I246" s="9" t="s">
        <v>62</v>
      </c>
      <c r="J246" t="s">
        <v>63</v>
      </c>
    </row>
    <row r="247" spans="1:10">
      <c r="A247">
        <v>2021</v>
      </c>
      <c r="B247" t="s">
        <v>50</v>
      </c>
      <c r="C247" s="3">
        <v>-38015</v>
      </c>
      <c r="D247" t="s">
        <v>11</v>
      </c>
      <c r="E247" t="s">
        <v>52</v>
      </c>
      <c r="F247">
        <v>146</v>
      </c>
      <c r="G247" t="s">
        <v>53</v>
      </c>
      <c r="H247" s="9" t="s">
        <v>54</v>
      </c>
      <c r="I247" s="9" t="s">
        <v>55</v>
      </c>
      <c r="J247" t="s">
        <v>56</v>
      </c>
    </row>
    <row r="248" spans="1:10">
      <c r="A248">
        <v>2021</v>
      </c>
      <c r="B248" t="s">
        <v>51</v>
      </c>
      <c r="C248" s="3">
        <v>8209</v>
      </c>
      <c r="D248" t="s">
        <v>11</v>
      </c>
      <c r="E248" t="s">
        <v>52</v>
      </c>
      <c r="F248">
        <v>182</v>
      </c>
      <c r="G248" t="s">
        <v>53</v>
      </c>
      <c r="H248" s="9" t="s">
        <v>54</v>
      </c>
      <c r="I248" s="9" t="s">
        <v>55</v>
      </c>
      <c r="J248" t="s">
        <v>56</v>
      </c>
    </row>
    <row r="249" spans="1:10">
      <c r="A249">
        <v>2022</v>
      </c>
      <c r="B249" t="s">
        <v>10</v>
      </c>
      <c r="C249" s="3">
        <v>650</v>
      </c>
      <c r="D249" t="s">
        <v>11</v>
      </c>
      <c r="E249" t="s">
        <v>59</v>
      </c>
      <c r="F249">
        <v>147</v>
      </c>
      <c r="G249" t="s">
        <v>60</v>
      </c>
      <c r="H249" s="9" t="s">
        <v>61</v>
      </c>
      <c r="I249" s="9" t="s">
        <v>62</v>
      </c>
      <c r="J249" t="s">
        <v>63</v>
      </c>
    </row>
    <row r="250" spans="1:10">
      <c r="A250">
        <v>2022</v>
      </c>
      <c r="B250" t="s">
        <v>57</v>
      </c>
      <c r="C250" s="3">
        <v>0</v>
      </c>
      <c r="D250" t="s">
        <v>11</v>
      </c>
      <c r="E250" t="s">
        <v>138</v>
      </c>
      <c r="F250">
        <v>181</v>
      </c>
      <c r="G250" t="s">
        <v>139</v>
      </c>
      <c r="H250" s="9" t="s">
        <v>140</v>
      </c>
      <c r="I250" s="9" t="s">
        <v>141</v>
      </c>
      <c r="J250" t="s">
        <v>142</v>
      </c>
    </row>
    <row r="251" spans="1:10">
      <c r="A251">
        <v>2022</v>
      </c>
      <c r="B251" t="s">
        <v>58</v>
      </c>
      <c r="C251" s="3">
        <v>0</v>
      </c>
      <c r="D251" t="s">
        <v>11</v>
      </c>
      <c r="E251" t="s">
        <v>59</v>
      </c>
      <c r="F251">
        <v>148</v>
      </c>
      <c r="G251" t="s">
        <v>60</v>
      </c>
      <c r="H251" s="9" t="s">
        <v>61</v>
      </c>
      <c r="I251" s="9" t="s">
        <v>62</v>
      </c>
      <c r="J251" t="s">
        <v>63</v>
      </c>
    </row>
    <row r="252" spans="1:10">
      <c r="A252">
        <v>2022</v>
      </c>
      <c r="B252" t="s">
        <v>17</v>
      </c>
      <c r="C252" s="3">
        <v>-6445</v>
      </c>
      <c r="D252" t="s">
        <v>11</v>
      </c>
      <c r="E252" t="s">
        <v>138</v>
      </c>
      <c r="F252">
        <v>147</v>
      </c>
      <c r="G252" t="s">
        <v>139</v>
      </c>
      <c r="H252" s="9" t="s">
        <v>140</v>
      </c>
      <c r="I252" s="9" t="s">
        <v>141</v>
      </c>
      <c r="J252" t="s">
        <v>142</v>
      </c>
    </row>
    <row r="253" spans="1:10">
      <c r="A253">
        <v>2022</v>
      </c>
      <c r="B253" t="s">
        <v>64</v>
      </c>
      <c r="C253" s="3">
        <v>1145</v>
      </c>
      <c r="D253" t="s">
        <v>11</v>
      </c>
      <c r="E253" t="s">
        <v>59</v>
      </c>
      <c r="F253">
        <v>179</v>
      </c>
      <c r="G253" t="s">
        <v>60</v>
      </c>
      <c r="H253" s="9" t="s">
        <v>61</v>
      </c>
      <c r="I253" s="9" t="s">
        <v>62</v>
      </c>
      <c r="J253" t="s">
        <v>63</v>
      </c>
    </row>
    <row r="254" spans="1:10">
      <c r="A254">
        <v>2022</v>
      </c>
      <c r="B254" t="s">
        <v>65</v>
      </c>
      <c r="C254" s="3">
        <v>1228</v>
      </c>
      <c r="D254" t="s">
        <v>11</v>
      </c>
      <c r="E254" t="s">
        <v>59</v>
      </c>
      <c r="F254">
        <v>179</v>
      </c>
      <c r="G254" t="s">
        <v>60</v>
      </c>
      <c r="H254" s="9" t="s">
        <v>61</v>
      </c>
      <c r="I254" s="9" t="s">
        <v>62</v>
      </c>
      <c r="J254" t="s">
        <v>63</v>
      </c>
    </row>
    <row r="255" spans="1:10">
      <c r="A255">
        <v>2022</v>
      </c>
      <c r="B255" t="s">
        <v>18</v>
      </c>
      <c r="C255" s="3">
        <v>58649</v>
      </c>
      <c r="D255" t="s">
        <v>11</v>
      </c>
      <c r="E255" t="s">
        <v>59</v>
      </c>
      <c r="F255">
        <v>147</v>
      </c>
      <c r="G255" t="s">
        <v>60</v>
      </c>
      <c r="H255" s="9" t="s">
        <v>61</v>
      </c>
      <c r="I255" s="9" t="s">
        <v>62</v>
      </c>
      <c r="J255" t="s">
        <v>63</v>
      </c>
    </row>
    <row r="256" spans="1:10">
      <c r="A256">
        <v>2022</v>
      </c>
      <c r="B256" t="s">
        <v>19</v>
      </c>
      <c r="C256" s="3">
        <v>799</v>
      </c>
      <c r="D256" t="s">
        <v>11</v>
      </c>
      <c r="E256" t="s">
        <v>59</v>
      </c>
      <c r="F256">
        <v>147</v>
      </c>
      <c r="G256" t="s">
        <v>60</v>
      </c>
      <c r="H256" s="9" t="s">
        <v>61</v>
      </c>
      <c r="I256" s="9" t="s">
        <v>62</v>
      </c>
      <c r="J256" t="s">
        <v>63</v>
      </c>
    </row>
    <row r="257" spans="1:10">
      <c r="A257">
        <v>2022</v>
      </c>
      <c r="B257" t="s">
        <v>66</v>
      </c>
      <c r="C257" s="3">
        <v>38</v>
      </c>
      <c r="D257" t="s">
        <v>11</v>
      </c>
      <c r="E257" t="s">
        <v>59</v>
      </c>
      <c r="F257">
        <v>149</v>
      </c>
      <c r="G257" t="s">
        <v>60</v>
      </c>
      <c r="H257" s="9" t="s">
        <v>61</v>
      </c>
      <c r="I257" s="9" t="s">
        <v>62</v>
      </c>
      <c r="J257" t="s">
        <v>63</v>
      </c>
    </row>
    <row r="258" spans="1:10">
      <c r="A258">
        <v>2022</v>
      </c>
      <c r="B258" t="s">
        <v>67</v>
      </c>
      <c r="C258" s="3">
        <v>799</v>
      </c>
      <c r="D258" t="s">
        <v>11</v>
      </c>
      <c r="E258" t="s">
        <v>59</v>
      </c>
      <c r="F258">
        <v>149</v>
      </c>
      <c r="G258" t="s">
        <v>60</v>
      </c>
      <c r="H258" s="9" t="s">
        <v>61</v>
      </c>
      <c r="I258" s="9" t="s">
        <v>62</v>
      </c>
      <c r="J258" t="s">
        <v>63</v>
      </c>
    </row>
    <row r="259" spans="1:10">
      <c r="A259">
        <v>2022</v>
      </c>
      <c r="B259" t="s">
        <v>68</v>
      </c>
      <c r="C259" s="3">
        <v>2842</v>
      </c>
      <c r="D259" t="s">
        <v>11</v>
      </c>
      <c r="E259" t="s">
        <v>59</v>
      </c>
      <c r="F259">
        <v>149</v>
      </c>
      <c r="G259" t="s">
        <v>60</v>
      </c>
      <c r="H259" s="9" t="s">
        <v>61</v>
      </c>
      <c r="I259" s="9" t="s">
        <v>62</v>
      </c>
      <c r="J259" t="s">
        <v>63</v>
      </c>
    </row>
    <row r="260" spans="1:10">
      <c r="A260">
        <v>2022</v>
      </c>
      <c r="B260" t="s">
        <v>69</v>
      </c>
      <c r="C260" s="3">
        <v>761</v>
      </c>
      <c r="D260" t="s">
        <v>11</v>
      </c>
      <c r="E260" t="s">
        <v>59</v>
      </c>
      <c r="F260">
        <v>149</v>
      </c>
      <c r="G260" t="s">
        <v>60</v>
      </c>
      <c r="H260" s="9" t="s">
        <v>61</v>
      </c>
      <c r="I260" s="9" t="s">
        <v>62</v>
      </c>
      <c r="J260" t="s">
        <v>63</v>
      </c>
    </row>
    <row r="261" spans="1:10">
      <c r="A261">
        <v>2022</v>
      </c>
      <c r="B261" t="s">
        <v>70</v>
      </c>
      <c r="C261" s="3">
        <v>-30</v>
      </c>
      <c r="D261" t="s">
        <v>11</v>
      </c>
      <c r="E261" t="s">
        <v>59</v>
      </c>
      <c r="F261">
        <v>149</v>
      </c>
      <c r="G261" t="s">
        <v>60</v>
      </c>
      <c r="H261" s="9" t="s">
        <v>61</v>
      </c>
      <c r="I261" s="9" t="s">
        <v>62</v>
      </c>
      <c r="J261" t="s">
        <v>63</v>
      </c>
    </row>
    <row r="262" spans="1:10">
      <c r="A262">
        <v>2022</v>
      </c>
      <c r="B262" t="s">
        <v>71</v>
      </c>
      <c r="C262" s="3">
        <v>817</v>
      </c>
      <c r="D262" t="s">
        <v>11</v>
      </c>
      <c r="E262" t="s">
        <v>59</v>
      </c>
      <c r="F262">
        <v>149</v>
      </c>
      <c r="G262" t="s">
        <v>60</v>
      </c>
      <c r="H262" s="9" t="s">
        <v>61</v>
      </c>
      <c r="I262" s="9" t="s">
        <v>62</v>
      </c>
      <c r="J262" t="s">
        <v>63</v>
      </c>
    </row>
    <row r="263" spans="1:10">
      <c r="A263">
        <v>2022</v>
      </c>
      <c r="B263" t="s">
        <v>72</v>
      </c>
      <c r="C263" s="3">
        <v>2330</v>
      </c>
      <c r="D263" t="s">
        <v>11</v>
      </c>
      <c r="E263" t="s">
        <v>59</v>
      </c>
      <c r="F263">
        <v>179</v>
      </c>
      <c r="G263" t="s">
        <v>60</v>
      </c>
      <c r="H263" s="9" t="s">
        <v>61</v>
      </c>
      <c r="I263" s="9" t="s">
        <v>62</v>
      </c>
      <c r="J263" t="s">
        <v>63</v>
      </c>
    </row>
    <row r="264" spans="1:10">
      <c r="A264">
        <v>2022</v>
      </c>
      <c r="B264" t="s">
        <v>20</v>
      </c>
      <c r="C264" s="3">
        <v>1024</v>
      </c>
      <c r="D264" t="s">
        <v>11</v>
      </c>
      <c r="E264" t="s">
        <v>59</v>
      </c>
      <c r="F264">
        <v>147</v>
      </c>
      <c r="G264" t="s">
        <v>60</v>
      </c>
      <c r="H264" s="9" t="s">
        <v>61</v>
      </c>
      <c r="I264" s="9" t="s">
        <v>62</v>
      </c>
      <c r="J264" t="s">
        <v>63</v>
      </c>
    </row>
    <row r="265" spans="1:10">
      <c r="A265">
        <v>2022</v>
      </c>
      <c r="B265" t="s">
        <v>78</v>
      </c>
      <c r="C265" s="3">
        <v>2462</v>
      </c>
      <c r="D265" t="s">
        <v>11</v>
      </c>
      <c r="E265" t="s">
        <v>59</v>
      </c>
      <c r="F265">
        <v>179</v>
      </c>
      <c r="G265" t="s">
        <v>60</v>
      </c>
      <c r="H265" s="9" t="s">
        <v>61</v>
      </c>
      <c r="I265" s="9" t="s">
        <v>62</v>
      </c>
      <c r="J265" t="s">
        <v>63</v>
      </c>
    </row>
    <row r="266" spans="1:10">
      <c r="A266">
        <v>2022</v>
      </c>
      <c r="B266" t="s">
        <v>79</v>
      </c>
      <c r="C266" s="3">
        <v>-2669</v>
      </c>
      <c r="D266" t="s">
        <v>11</v>
      </c>
      <c r="E266" t="s">
        <v>59</v>
      </c>
      <c r="F266">
        <v>149</v>
      </c>
      <c r="G266" t="s">
        <v>60</v>
      </c>
      <c r="H266" s="9" t="s">
        <v>61</v>
      </c>
      <c r="I266" s="9" t="s">
        <v>62</v>
      </c>
      <c r="J266" t="s">
        <v>63</v>
      </c>
    </row>
    <row r="267" spans="1:10">
      <c r="A267">
        <v>2022</v>
      </c>
      <c r="B267" t="s">
        <v>80</v>
      </c>
      <c r="C267" s="3">
        <v>-3728</v>
      </c>
      <c r="D267" t="s">
        <v>11</v>
      </c>
      <c r="E267" t="s">
        <v>59</v>
      </c>
      <c r="F267">
        <v>149</v>
      </c>
      <c r="G267" t="s">
        <v>60</v>
      </c>
      <c r="H267" s="9" t="s">
        <v>61</v>
      </c>
      <c r="I267" s="9" t="s">
        <v>62</v>
      </c>
      <c r="J267" t="s">
        <v>63</v>
      </c>
    </row>
    <row r="268" spans="1:10">
      <c r="A268">
        <v>2022</v>
      </c>
      <c r="B268" t="s">
        <v>81</v>
      </c>
      <c r="C268" s="3">
        <v>6465</v>
      </c>
      <c r="D268" t="s">
        <v>11</v>
      </c>
      <c r="E268" t="s">
        <v>59</v>
      </c>
      <c r="F268">
        <v>149</v>
      </c>
      <c r="G268" t="s">
        <v>60</v>
      </c>
      <c r="H268" s="9" t="s">
        <v>61</v>
      </c>
      <c r="I268" s="9" t="s">
        <v>62</v>
      </c>
      <c r="J268" t="s">
        <v>63</v>
      </c>
    </row>
    <row r="269" spans="1:10">
      <c r="A269">
        <v>2022</v>
      </c>
      <c r="B269" t="s">
        <v>82</v>
      </c>
      <c r="C269" s="3">
        <v>22854</v>
      </c>
      <c r="D269" t="s">
        <v>11</v>
      </c>
      <c r="E269" t="s">
        <v>59</v>
      </c>
      <c r="F269">
        <v>145</v>
      </c>
      <c r="G269" t="s">
        <v>60</v>
      </c>
      <c r="H269" s="9" t="s">
        <v>61</v>
      </c>
      <c r="I269" s="9" t="s">
        <v>62</v>
      </c>
      <c r="J269" t="s">
        <v>63</v>
      </c>
    </row>
    <row r="270" spans="1:10">
      <c r="A270">
        <v>2022</v>
      </c>
      <c r="B270" t="s">
        <v>83</v>
      </c>
      <c r="C270" s="3">
        <v>-6445</v>
      </c>
      <c r="D270" t="s">
        <v>11</v>
      </c>
      <c r="E270" t="s">
        <v>59</v>
      </c>
      <c r="F270">
        <v>148</v>
      </c>
      <c r="G270" t="s">
        <v>60</v>
      </c>
      <c r="H270" s="9" t="s">
        <v>61</v>
      </c>
      <c r="I270" s="9" t="s">
        <v>62</v>
      </c>
      <c r="J270" t="s">
        <v>63</v>
      </c>
    </row>
    <row r="271" spans="1:10">
      <c r="A271">
        <v>2022</v>
      </c>
      <c r="B271" t="s">
        <v>84</v>
      </c>
      <c r="C271" s="3">
        <v>21560</v>
      </c>
      <c r="D271" t="s">
        <v>11</v>
      </c>
      <c r="E271" t="s">
        <v>59</v>
      </c>
      <c r="F271">
        <v>148</v>
      </c>
      <c r="G271" t="s">
        <v>60</v>
      </c>
      <c r="H271" s="9" t="s">
        <v>61</v>
      </c>
      <c r="I271" s="9" t="s">
        <v>62</v>
      </c>
      <c r="J271" t="s">
        <v>63</v>
      </c>
    </row>
    <row r="272" spans="1:10">
      <c r="A272">
        <v>2022</v>
      </c>
      <c r="B272" t="s">
        <v>85</v>
      </c>
      <c r="C272" s="3">
        <v>232.1</v>
      </c>
      <c r="D272" t="s">
        <v>11</v>
      </c>
      <c r="E272" t="s">
        <v>59</v>
      </c>
      <c r="F272">
        <v>148</v>
      </c>
      <c r="G272" t="s">
        <v>60</v>
      </c>
      <c r="H272" s="9" t="s">
        <v>61</v>
      </c>
      <c r="I272" s="9" t="s">
        <v>62</v>
      </c>
      <c r="J272" t="s">
        <v>63</v>
      </c>
    </row>
    <row r="273" spans="1:10">
      <c r="A273">
        <v>2022</v>
      </c>
      <c r="B273" t="s">
        <v>21</v>
      </c>
      <c r="C273" s="3">
        <v>24565</v>
      </c>
      <c r="D273" t="s">
        <v>11</v>
      </c>
      <c r="E273" t="s">
        <v>138</v>
      </c>
      <c r="F273">
        <v>147</v>
      </c>
      <c r="G273" t="s">
        <v>139</v>
      </c>
      <c r="H273" s="9" t="s">
        <v>140</v>
      </c>
      <c r="I273" s="9" t="s">
        <v>141</v>
      </c>
      <c r="J273" t="s">
        <v>142</v>
      </c>
    </row>
    <row r="274" spans="1:10">
      <c r="A274">
        <v>2022</v>
      </c>
      <c r="B274" t="s">
        <v>22</v>
      </c>
      <c r="C274" s="3">
        <v>3596</v>
      </c>
      <c r="D274" t="s">
        <v>11</v>
      </c>
      <c r="E274" t="s">
        <v>138</v>
      </c>
      <c r="F274">
        <v>147</v>
      </c>
      <c r="G274" t="s">
        <v>139</v>
      </c>
      <c r="H274" s="9" t="s">
        <v>140</v>
      </c>
      <c r="I274" s="9" t="s">
        <v>141</v>
      </c>
      <c r="J274" t="s">
        <v>142</v>
      </c>
    </row>
    <row r="275" spans="1:10">
      <c r="A275">
        <v>2022</v>
      </c>
      <c r="B275" t="s">
        <v>23</v>
      </c>
      <c r="C275" s="3">
        <v>3579</v>
      </c>
      <c r="D275" t="s">
        <v>11</v>
      </c>
      <c r="E275" t="s">
        <v>138</v>
      </c>
      <c r="F275">
        <v>147</v>
      </c>
      <c r="G275" t="s">
        <v>139</v>
      </c>
      <c r="H275" s="9" t="s">
        <v>140</v>
      </c>
      <c r="I275" s="9" t="s">
        <v>141</v>
      </c>
      <c r="J275" t="s">
        <v>142</v>
      </c>
    </row>
    <row r="276" spans="1:10">
      <c r="A276">
        <v>2022</v>
      </c>
      <c r="B276" t="s">
        <v>86</v>
      </c>
      <c r="C276" s="3">
        <v>23308</v>
      </c>
      <c r="D276" t="s">
        <v>11</v>
      </c>
      <c r="E276" t="s">
        <v>138</v>
      </c>
      <c r="F276">
        <v>181</v>
      </c>
      <c r="G276" t="s">
        <v>139</v>
      </c>
      <c r="H276" s="9" t="s">
        <v>140</v>
      </c>
      <c r="I276" s="9" t="s">
        <v>141</v>
      </c>
      <c r="J276" t="s">
        <v>142</v>
      </c>
    </row>
    <row r="277" spans="1:10">
      <c r="A277">
        <v>2022</v>
      </c>
      <c r="B277" t="s">
        <v>24</v>
      </c>
      <c r="C277" s="3">
        <v>2836</v>
      </c>
      <c r="D277" t="s">
        <v>11</v>
      </c>
      <c r="E277" t="s">
        <v>59</v>
      </c>
      <c r="F277">
        <v>147</v>
      </c>
      <c r="G277" t="s">
        <v>60</v>
      </c>
      <c r="H277" s="9" t="s">
        <v>61</v>
      </c>
      <c r="I277" s="9" t="s">
        <v>62</v>
      </c>
      <c r="J277" t="s">
        <v>63</v>
      </c>
    </row>
    <row r="278" spans="1:10">
      <c r="A278">
        <v>2022</v>
      </c>
      <c r="B278" t="s">
        <v>87</v>
      </c>
      <c r="C278" s="3">
        <v>5515</v>
      </c>
      <c r="D278" t="s">
        <v>11</v>
      </c>
      <c r="E278" t="s">
        <v>59</v>
      </c>
      <c r="F278">
        <v>145</v>
      </c>
      <c r="G278" t="s">
        <v>60</v>
      </c>
      <c r="H278" s="9" t="s">
        <v>61</v>
      </c>
      <c r="I278" s="9" t="s">
        <v>62</v>
      </c>
      <c r="J278" t="s">
        <v>63</v>
      </c>
    </row>
    <row r="279" spans="1:10">
      <c r="A279">
        <v>2022</v>
      </c>
      <c r="B279" t="s">
        <v>88</v>
      </c>
      <c r="C279" s="3">
        <v>5824</v>
      </c>
      <c r="D279" t="s">
        <v>11</v>
      </c>
      <c r="E279" t="s">
        <v>59</v>
      </c>
      <c r="F279">
        <v>149</v>
      </c>
      <c r="G279" t="s">
        <v>60</v>
      </c>
      <c r="H279" s="9" t="s">
        <v>61</v>
      </c>
      <c r="I279" s="9" t="s">
        <v>62</v>
      </c>
      <c r="J279" t="s">
        <v>63</v>
      </c>
    </row>
    <row r="280" spans="1:10">
      <c r="A280">
        <v>2022</v>
      </c>
      <c r="B280" t="s">
        <v>25</v>
      </c>
      <c r="C280" s="3">
        <v>7292</v>
      </c>
      <c r="D280" t="s">
        <v>11</v>
      </c>
      <c r="E280" t="s">
        <v>59</v>
      </c>
      <c r="F280">
        <v>147</v>
      </c>
      <c r="G280" t="s">
        <v>60</v>
      </c>
      <c r="H280" s="9" t="s">
        <v>61</v>
      </c>
      <c r="I280" s="9" t="s">
        <v>62</v>
      </c>
      <c r="J280" t="s">
        <v>63</v>
      </c>
    </row>
    <row r="281" spans="1:10">
      <c r="A281">
        <v>2022</v>
      </c>
      <c r="B281" t="s">
        <v>89</v>
      </c>
      <c r="C281" s="3">
        <v>0</v>
      </c>
      <c r="D281" t="s">
        <v>11</v>
      </c>
      <c r="E281" t="s">
        <v>59</v>
      </c>
      <c r="F281">
        <v>149</v>
      </c>
      <c r="G281" t="s">
        <v>60</v>
      </c>
      <c r="H281" s="9" t="s">
        <v>61</v>
      </c>
      <c r="I281" s="9" t="s">
        <v>62</v>
      </c>
      <c r="J281" t="s">
        <v>63</v>
      </c>
    </row>
    <row r="282" spans="1:10">
      <c r="A282">
        <v>2022</v>
      </c>
      <c r="B282" t="s">
        <v>90</v>
      </c>
      <c r="C282" s="3">
        <v>0</v>
      </c>
      <c r="D282" t="s">
        <v>11</v>
      </c>
      <c r="E282" t="s">
        <v>59</v>
      </c>
      <c r="F282">
        <v>149</v>
      </c>
      <c r="G282" t="s">
        <v>60</v>
      </c>
      <c r="H282" s="9" t="s">
        <v>61</v>
      </c>
      <c r="I282" s="9" t="s">
        <v>62</v>
      </c>
      <c r="J282" t="s">
        <v>63</v>
      </c>
    </row>
    <row r="283" spans="1:10">
      <c r="A283">
        <v>2022</v>
      </c>
      <c r="B283" t="s">
        <v>143</v>
      </c>
      <c r="C283" s="3">
        <v>1877</v>
      </c>
      <c r="D283" t="s">
        <v>11</v>
      </c>
      <c r="E283" t="s">
        <v>138</v>
      </c>
      <c r="F283">
        <v>147</v>
      </c>
      <c r="G283" t="s">
        <v>139</v>
      </c>
      <c r="H283" s="9" t="s">
        <v>140</v>
      </c>
      <c r="I283" s="9" t="s">
        <v>141</v>
      </c>
      <c r="J283" t="s">
        <v>142</v>
      </c>
    </row>
    <row r="284" spans="1:10">
      <c r="A284">
        <v>2022</v>
      </c>
      <c r="B284" t="s">
        <v>91</v>
      </c>
      <c r="C284" s="3">
        <v>34948</v>
      </c>
      <c r="D284" t="s">
        <v>11</v>
      </c>
      <c r="E284" t="s">
        <v>59</v>
      </c>
      <c r="F284">
        <v>179</v>
      </c>
      <c r="G284" t="s">
        <v>60</v>
      </c>
      <c r="H284" s="9" t="s">
        <v>61</v>
      </c>
      <c r="I284" s="9" t="s">
        <v>62</v>
      </c>
      <c r="J284" t="s">
        <v>63</v>
      </c>
    </row>
    <row r="285" spans="1:10">
      <c r="A285">
        <v>2022</v>
      </c>
      <c r="B285" t="s">
        <v>92</v>
      </c>
      <c r="C285" s="3">
        <v>36648</v>
      </c>
      <c r="D285" t="s">
        <v>11</v>
      </c>
      <c r="E285" t="s">
        <v>59</v>
      </c>
      <c r="F285">
        <v>179</v>
      </c>
      <c r="G285" t="s">
        <v>60</v>
      </c>
      <c r="H285" s="9" t="s">
        <v>61</v>
      </c>
      <c r="I285" s="9" t="s">
        <v>62</v>
      </c>
      <c r="J285" t="s">
        <v>63</v>
      </c>
    </row>
    <row r="286" spans="1:10">
      <c r="A286">
        <v>2022</v>
      </c>
      <c r="B286" t="s">
        <v>93</v>
      </c>
      <c r="C286" s="3">
        <v>875</v>
      </c>
      <c r="D286" t="s">
        <v>11</v>
      </c>
      <c r="E286" t="s">
        <v>59</v>
      </c>
      <c r="F286">
        <v>149</v>
      </c>
      <c r="G286" t="s">
        <v>60</v>
      </c>
      <c r="H286" s="9" t="s">
        <v>61</v>
      </c>
      <c r="I286" s="9" t="s">
        <v>62</v>
      </c>
      <c r="J286" t="s">
        <v>63</v>
      </c>
    </row>
    <row r="287" spans="1:10">
      <c r="A287">
        <v>2022</v>
      </c>
      <c r="B287" t="s">
        <v>94</v>
      </c>
      <c r="C287" s="3">
        <v>267</v>
      </c>
      <c r="D287" t="s">
        <v>11</v>
      </c>
      <c r="E287" t="s">
        <v>59</v>
      </c>
      <c r="F287">
        <v>149</v>
      </c>
      <c r="G287" t="s">
        <v>60</v>
      </c>
      <c r="H287" s="9" t="s">
        <v>61</v>
      </c>
      <c r="I287" s="9" t="s">
        <v>62</v>
      </c>
      <c r="J287" t="s">
        <v>63</v>
      </c>
    </row>
    <row r="288" spans="1:10">
      <c r="A288">
        <v>2022</v>
      </c>
      <c r="B288" t="s">
        <v>95</v>
      </c>
      <c r="C288" s="3">
        <v>61</v>
      </c>
      <c r="D288" t="s">
        <v>11</v>
      </c>
      <c r="E288" t="s">
        <v>59</v>
      </c>
      <c r="F288">
        <v>149</v>
      </c>
      <c r="G288" t="s">
        <v>60</v>
      </c>
      <c r="H288" s="9" t="s">
        <v>61</v>
      </c>
      <c r="I288" s="9" t="s">
        <v>62</v>
      </c>
      <c r="J288" t="s">
        <v>63</v>
      </c>
    </row>
    <row r="289" spans="1:10">
      <c r="A289">
        <v>2022</v>
      </c>
      <c r="B289" t="s">
        <v>96</v>
      </c>
      <c r="C289" s="3">
        <v>227</v>
      </c>
      <c r="D289" t="s">
        <v>11</v>
      </c>
      <c r="E289" t="s">
        <v>59</v>
      </c>
      <c r="F289">
        <v>148</v>
      </c>
      <c r="G289" t="s">
        <v>60</v>
      </c>
      <c r="H289" s="9" t="s">
        <v>61</v>
      </c>
      <c r="I289" s="9" t="s">
        <v>62</v>
      </c>
      <c r="J289" t="s">
        <v>63</v>
      </c>
    </row>
    <row r="290" spans="1:10">
      <c r="A290">
        <v>2022</v>
      </c>
      <c r="B290" t="s">
        <v>27</v>
      </c>
      <c r="C290" s="3">
        <v>21560</v>
      </c>
      <c r="D290" t="s">
        <v>11</v>
      </c>
      <c r="E290" t="s">
        <v>59</v>
      </c>
      <c r="F290">
        <v>147</v>
      </c>
      <c r="G290" t="s">
        <v>60</v>
      </c>
      <c r="H290" s="9" t="s">
        <v>61</v>
      </c>
      <c r="I290" s="9" t="s">
        <v>62</v>
      </c>
      <c r="J290" t="s">
        <v>63</v>
      </c>
    </row>
    <row r="291" spans="1:10">
      <c r="A291">
        <v>2022</v>
      </c>
      <c r="B291" t="s">
        <v>97</v>
      </c>
      <c r="C291" s="3">
        <v>2000</v>
      </c>
      <c r="D291" t="s">
        <v>11</v>
      </c>
      <c r="E291" t="s">
        <v>59</v>
      </c>
      <c r="F291">
        <v>148</v>
      </c>
      <c r="G291" t="s">
        <v>60</v>
      </c>
      <c r="H291" s="9" t="s">
        <v>61</v>
      </c>
      <c r="I291" s="9" t="s">
        <v>62</v>
      </c>
      <c r="J291" t="s">
        <v>63</v>
      </c>
    </row>
    <row r="292" spans="1:10">
      <c r="A292">
        <v>2022</v>
      </c>
      <c r="B292" t="s">
        <v>98</v>
      </c>
      <c r="C292" s="3">
        <v>880</v>
      </c>
      <c r="D292" t="s">
        <v>11</v>
      </c>
      <c r="E292" t="s">
        <v>59</v>
      </c>
      <c r="F292">
        <v>148</v>
      </c>
      <c r="G292" t="s">
        <v>60</v>
      </c>
      <c r="H292" s="9" t="s">
        <v>61</v>
      </c>
      <c r="I292" s="9" t="s">
        <v>62</v>
      </c>
      <c r="J292" t="s">
        <v>63</v>
      </c>
    </row>
    <row r="293" spans="1:10">
      <c r="A293">
        <v>2022</v>
      </c>
      <c r="B293" t="s">
        <v>99</v>
      </c>
      <c r="C293" s="3">
        <v>61</v>
      </c>
      <c r="D293" t="s">
        <v>11</v>
      </c>
      <c r="E293" t="s">
        <v>59</v>
      </c>
      <c r="F293">
        <v>148</v>
      </c>
      <c r="G293" t="s">
        <v>60</v>
      </c>
      <c r="H293" s="9" t="s">
        <v>61</v>
      </c>
      <c r="I293" s="9" t="s">
        <v>62</v>
      </c>
      <c r="J293" t="s">
        <v>63</v>
      </c>
    </row>
    <row r="294" spans="1:10">
      <c r="A294">
        <v>2022</v>
      </c>
      <c r="B294" t="s">
        <v>28</v>
      </c>
      <c r="C294" s="3">
        <v>807</v>
      </c>
      <c r="D294" t="s">
        <v>11</v>
      </c>
      <c r="E294" t="s">
        <v>59</v>
      </c>
      <c r="F294">
        <v>147</v>
      </c>
      <c r="G294" t="s">
        <v>60</v>
      </c>
      <c r="H294" s="9" t="s">
        <v>61</v>
      </c>
      <c r="I294" s="9" t="s">
        <v>62</v>
      </c>
      <c r="J294" t="s">
        <v>63</v>
      </c>
    </row>
    <row r="295" spans="1:10">
      <c r="A295">
        <v>2022</v>
      </c>
      <c r="B295" t="s">
        <v>100</v>
      </c>
      <c r="C295" s="3">
        <v>136</v>
      </c>
      <c r="D295" t="s">
        <v>11</v>
      </c>
      <c r="E295" t="s">
        <v>59</v>
      </c>
      <c r="F295">
        <v>149</v>
      </c>
      <c r="G295" t="s">
        <v>60</v>
      </c>
      <c r="H295" s="9" t="s">
        <v>61</v>
      </c>
      <c r="I295" s="9" t="s">
        <v>62</v>
      </c>
      <c r="J295" t="s">
        <v>63</v>
      </c>
    </row>
    <row r="296" spans="1:10">
      <c r="A296">
        <v>2022</v>
      </c>
      <c r="B296" t="s">
        <v>101</v>
      </c>
      <c r="C296" s="3">
        <v>138</v>
      </c>
      <c r="D296" t="s">
        <v>11</v>
      </c>
      <c r="E296" t="s">
        <v>59</v>
      </c>
      <c r="F296">
        <v>149</v>
      </c>
      <c r="G296" t="s">
        <v>60</v>
      </c>
      <c r="H296" s="9" t="s">
        <v>61</v>
      </c>
      <c r="I296" s="9" t="s">
        <v>62</v>
      </c>
      <c r="J296" t="s">
        <v>63</v>
      </c>
    </row>
    <row r="297" spans="1:10">
      <c r="A297">
        <v>2022</v>
      </c>
      <c r="B297" t="s">
        <v>102</v>
      </c>
      <c r="C297" s="3">
        <v>412</v>
      </c>
      <c r="D297" t="s">
        <v>11</v>
      </c>
      <c r="E297" t="s">
        <v>59</v>
      </c>
      <c r="F297">
        <v>145</v>
      </c>
      <c r="G297" t="s">
        <v>60</v>
      </c>
      <c r="H297" s="9" t="s">
        <v>61</v>
      </c>
      <c r="I297" s="9" t="s">
        <v>62</v>
      </c>
      <c r="J297" t="s">
        <v>63</v>
      </c>
    </row>
    <row r="298" spans="1:10">
      <c r="A298">
        <v>2022</v>
      </c>
      <c r="B298" t="s">
        <v>29</v>
      </c>
      <c r="C298" s="3">
        <v>77380</v>
      </c>
      <c r="D298" t="s">
        <v>11</v>
      </c>
      <c r="E298" t="s">
        <v>59</v>
      </c>
      <c r="F298">
        <v>147</v>
      </c>
      <c r="G298" t="s">
        <v>60</v>
      </c>
      <c r="H298" s="9" t="s">
        <v>61</v>
      </c>
      <c r="I298" s="9" t="s">
        <v>62</v>
      </c>
      <c r="J298" t="s">
        <v>63</v>
      </c>
    </row>
    <row r="299" spans="1:10">
      <c r="A299">
        <v>2022</v>
      </c>
      <c r="B299" t="s">
        <v>30</v>
      </c>
      <c r="C299" s="3">
        <v>71160</v>
      </c>
      <c r="D299" t="s">
        <v>11</v>
      </c>
      <c r="E299" t="s">
        <v>59</v>
      </c>
      <c r="F299">
        <v>147</v>
      </c>
      <c r="G299" t="s">
        <v>60</v>
      </c>
      <c r="H299" s="9" t="s">
        <v>61</v>
      </c>
      <c r="I299" s="9" t="s">
        <v>62</v>
      </c>
      <c r="J299" t="s">
        <v>63</v>
      </c>
    </row>
    <row r="300" spans="1:10">
      <c r="A300">
        <v>2022</v>
      </c>
      <c r="B300" t="s">
        <v>103</v>
      </c>
      <c r="C300" s="3">
        <v>6837</v>
      </c>
      <c r="D300" t="s">
        <v>11</v>
      </c>
      <c r="E300" t="s">
        <v>59</v>
      </c>
      <c r="F300">
        <v>149</v>
      </c>
      <c r="G300" t="s">
        <v>60</v>
      </c>
      <c r="H300" s="9" t="s">
        <v>61</v>
      </c>
      <c r="I300" s="9" t="s">
        <v>62</v>
      </c>
      <c r="J300" t="s">
        <v>63</v>
      </c>
    </row>
    <row r="301" spans="1:10">
      <c r="A301">
        <v>2022</v>
      </c>
      <c r="B301" t="s">
        <v>104</v>
      </c>
      <c r="C301" s="3">
        <v>15908</v>
      </c>
      <c r="D301" t="s">
        <v>11</v>
      </c>
      <c r="E301" t="s">
        <v>59</v>
      </c>
      <c r="F301">
        <v>149</v>
      </c>
      <c r="G301" t="s">
        <v>60</v>
      </c>
      <c r="H301" s="9" t="s">
        <v>61</v>
      </c>
      <c r="I301" s="9" t="s">
        <v>62</v>
      </c>
      <c r="J301" t="s">
        <v>63</v>
      </c>
    </row>
    <row r="302" spans="1:10">
      <c r="A302">
        <v>2022</v>
      </c>
      <c r="B302" t="s">
        <v>105</v>
      </c>
      <c r="C302" s="3">
        <v>5657</v>
      </c>
      <c r="D302" t="s">
        <v>11</v>
      </c>
      <c r="E302" t="s">
        <v>59</v>
      </c>
      <c r="F302">
        <v>149</v>
      </c>
      <c r="G302" t="s">
        <v>60</v>
      </c>
      <c r="H302" s="9" t="s">
        <v>61</v>
      </c>
      <c r="I302" s="9" t="s">
        <v>62</v>
      </c>
      <c r="J302" t="s">
        <v>63</v>
      </c>
    </row>
    <row r="303" spans="1:10">
      <c r="A303">
        <v>2022</v>
      </c>
      <c r="B303" t="s">
        <v>106</v>
      </c>
      <c r="C303" s="3">
        <v>4810</v>
      </c>
      <c r="D303" t="s">
        <v>11</v>
      </c>
      <c r="E303" t="s">
        <v>59</v>
      </c>
      <c r="F303">
        <v>145</v>
      </c>
      <c r="G303" t="s">
        <v>60</v>
      </c>
      <c r="H303" s="9" t="s">
        <v>61</v>
      </c>
      <c r="I303" s="9" t="s">
        <v>62</v>
      </c>
      <c r="J303" t="s">
        <v>63</v>
      </c>
    </row>
    <row r="304" spans="1:10">
      <c r="A304">
        <v>2022</v>
      </c>
      <c r="B304" t="s">
        <v>31</v>
      </c>
      <c r="C304" s="3">
        <v>3952</v>
      </c>
      <c r="D304" t="s">
        <v>11</v>
      </c>
      <c r="E304" t="s">
        <v>138</v>
      </c>
      <c r="F304">
        <v>147</v>
      </c>
      <c r="G304" t="s">
        <v>139</v>
      </c>
      <c r="H304" s="9" t="s">
        <v>140</v>
      </c>
      <c r="I304" s="9" t="s">
        <v>141</v>
      </c>
      <c r="J304" t="s">
        <v>142</v>
      </c>
    </row>
    <row r="305" spans="1:10">
      <c r="A305">
        <v>2022</v>
      </c>
      <c r="B305" t="s">
        <v>107</v>
      </c>
      <c r="C305" s="3">
        <v>36093</v>
      </c>
      <c r="D305" t="s">
        <v>37</v>
      </c>
      <c r="E305" t="s">
        <v>59</v>
      </c>
      <c r="F305">
        <v>179</v>
      </c>
      <c r="G305" t="s">
        <v>60</v>
      </c>
      <c r="H305" s="9" t="s">
        <v>61</v>
      </c>
      <c r="I305" s="9" t="s">
        <v>62</v>
      </c>
      <c r="J305" t="s">
        <v>63</v>
      </c>
    </row>
    <row r="306" spans="1:10">
      <c r="A306">
        <v>2022</v>
      </c>
      <c r="B306" t="s">
        <v>32</v>
      </c>
      <c r="C306" s="3">
        <v>58643</v>
      </c>
      <c r="D306" t="s">
        <v>11</v>
      </c>
      <c r="E306" t="s">
        <v>138</v>
      </c>
      <c r="F306">
        <v>181</v>
      </c>
      <c r="G306" t="s">
        <v>139</v>
      </c>
      <c r="H306" s="9" t="s">
        <v>140</v>
      </c>
      <c r="I306" s="9" t="s">
        <v>141</v>
      </c>
      <c r="J306" t="s">
        <v>142</v>
      </c>
    </row>
    <row r="307" spans="1:10">
      <c r="A307">
        <v>2022</v>
      </c>
      <c r="B307" t="s">
        <v>33</v>
      </c>
      <c r="C307" s="3">
        <v>18240</v>
      </c>
      <c r="D307" t="s">
        <v>11</v>
      </c>
      <c r="E307" t="s">
        <v>59</v>
      </c>
      <c r="F307">
        <v>147</v>
      </c>
      <c r="G307" t="s">
        <v>60</v>
      </c>
      <c r="H307" s="9" t="s">
        <v>61</v>
      </c>
      <c r="I307" s="9" t="s">
        <v>62</v>
      </c>
      <c r="J307" t="s">
        <v>63</v>
      </c>
    </row>
    <row r="308" spans="1:10">
      <c r="A308">
        <v>2022</v>
      </c>
      <c r="B308" t="s">
        <v>108</v>
      </c>
      <c r="C308" s="3">
        <v>37876</v>
      </c>
      <c r="D308" t="s">
        <v>37</v>
      </c>
      <c r="E308" t="s">
        <v>59</v>
      </c>
      <c r="F308">
        <v>179</v>
      </c>
      <c r="G308" t="s">
        <v>60</v>
      </c>
      <c r="H308" s="9" t="s">
        <v>61</v>
      </c>
      <c r="I308" s="9" t="s">
        <v>62</v>
      </c>
      <c r="J308" t="s">
        <v>63</v>
      </c>
    </row>
    <row r="309" spans="1:10">
      <c r="A309">
        <v>2022</v>
      </c>
      <c r="B309" t="s">
        <v>34</v>
      </c>
      <c r="C309" s="3">
        <v>287</v>
      </c>
      <c r="D309" t="s">
        <v>11</v>
      </c>
      <c r="E309" t="s">
        <v>138</v>
      </c>
      <c r="F309">
        <v>147</v>
      </c>
      <c r="G309" t="s">
        <v>139</v>
      </c>
      <c r="H309" s="9" t="s">
        <v>140</v>
      </c>
      <c r="I309" s="9" t="s">
        <v>141</v>
      </c>
      <c r="J309" t="s">
        <v>142</v>
      </c>
    </row>
    <row r="310" spans="1:10">
      <c r="A310">
        <v>2022</v>
      </c>
      <c r="B310" t="s">
        <v>109</v>
      </c>
      <c r="C310" s="3">
        <v>351</v>
      </c>
      <c r="D310" t="s">
        <v>11</v>
      </c>
      <c r="E310" t="s">
        <v>59</v>
      </c>
      <c r="F310">
        <v>145</v>
      </c>
      <c r="G310" t="s">
        <v>60</v>
      </c>
      <c r="H310" s="9" t="s">
        <v>61</v>
      </c>
      <c r="I310" s="9" t="s">
        <v>62</v>
      </c>
      <c r="J310" t="s">
        <v>63</v>
      </c>
    </row>
    <row r="311" spans="1:10">
      <c r="A311">
        <v>2022</v>
      </c>
      <c r="B311" t="s">
        <v>110</v>
      </c>
      <c r="C311" s="3">
        <v>2562</v>
      </c>
      <c r="D311" t="s">
        <v>11</v>
      </c>
      <c r="E311" t="s">
        <v>59</v>
      </c>
      <c r="F311">
        <v>145</v>
      </c>
      <c r="G311" t="s">
        <v>60</v>
      </c>
      <c r="H311" s="9" t="s">
        <v>61</v>
      </c>
      <c r="I311" s="9" t="s">
        <v>62</v>
      </c>
      <c r="J311" t="s">
        <v>63</v>
      </c>
    </row>
    <row r="312" spans="1:10">
      <c r="A312">
        <v>2022</v>
      </c>
      <c r="B312" t="s">
        <v>111</v>
      </c>
      <c r="C312" s="3">
        <v>33763</v>
      </c>
      <c r="D312" t="s">
        <v>11</v>
      </c>
      <c r="E312" t="s">
        <v>59</v>
      </c>
      <c r="F312">
        <v>179</v>
      </c>
      <c r="G312" t="s">
        <v>60</v>
      </c>
      <c r="H312" s="9" t="s">
        <v>61</v>
      </c>
      <c r="I312" s="9" t="s">
        <v>62</v>
      </c>
      <c r="J312" t="s">
        <v>63</v>
      </c>
    </row>
    <row r="313" spans="1:10">
      <c r="A313">
        <v>2022</v>
      </c>
      <c r="B313" t="s">
        <v>112</v>
      </c>
      <c r="C313" s="3">
        <v>2842</v>
      </c>
      <c r="D313" t="s">
        <v>11</v>
      </c>
      <c r="E313" t="s">
        <v>59</v>
      </c>
      <c r="F313">
        <v>145</v>
      </c>
      <c r="G313" t="s">
        <v>60</v>
      </c>
      <c r="H313" s="9" t="s">
        <v>61</v>
      </c>
      <c r="I313" s="9" t="s">
        <v>62</v>
      </c>
      <c r="J313" t="s">
        <v>63</v>
      </c>
    </row>
    <row r="314" spans="1:10">
      <c r="A314">
        <v>2022</v>
      </c>
      <c r="B314" t="s">
        <v>35</v>
      </c>
      <c r="C314" s="3">
        <v>50853</v>
      </c>
      <c r="D314" t="s">
        <v>11</v>
      </c>
      <c r="E314" t="s">
        <v>138</v>
      </c>
      <c r="F314">
        <v>181</v>
      </c>
      <c r="G314" t="s">
        <v>139</v>
      </c>
      <c r="H314" s="9" t="s">
        <v>140</v>
      </c>
      <c r="I314" s="9" t="s">
        <v>141</v>
      </c>
      <c r="J314" t="s">
        <v>142</v>
      </c>
    </row>
    <row r="315" spans="1:10">
      <c r="A315">
        <v>2022</v>
      </c>
      <c r="B315" t="s">
        <v>36</v>
      </c>
      <c r="C315" s="3">
        <v>17216</v>
      </c>
      <c r="D315" t="s">
        <v>37</v>
      </c>
      <c r="E315" t="s">
        <v>59</v>
      </c>
      <c r="F315">
        <v>147</v>
      </c>
      <c r="G315" t="s">
        <v>60</v>
      </c>
      <c r="H315" s="9" t="s">
        <v>61</v>
      </c>
      <c r="I315" s="9" t="s">
        <v>62</v>
      </c>
      <c r="J315" t="s">
        <v>63</v>
      </c>
    </row>
    <row r="316" spans="1:10">
      <c r="A316">
        <v>2022</v>
      </c>
      <c r="B316" t="s">
        <v>113</v>
      </c>
      <c r="C316" s="3">
        <v>35414</v>
      </c>
      <c r="D316" t="s">
        <v>11</v>
      </c>
      <c r="E316" t="s">
        <v>59</v>
      </c>
      <c r="F316">
        <v>179</v>
      </c>
      <c r="G316" t="s">
        <v>60</v>
      </c>
      <c r="H316" s="9" t="s">
        <v>61</v>
      </c>
      <c r="I316" s="9" t="s">
        <v>62</v>
      </c>
      <c r="J316" t="s">
        <v>63</v>
      </c>
    </row>
    <row r="317" spans="1:10">
      <c r="A317">
        <v>2022</v>
      </c>
      <c r="B317" t="s">
        <v>114</v>
      </c>
      <c r="C317" s="3">
        <v>28887</v>
      </c>
      <c r="D317" t="s">
        <v>37</v>
      </c>
      <c r="E317" t="s">
        <v>59</v>
      </c>
      <c r="F317">
        <v>148</v>
      </c>
      <c r="G317" t="s">
        <v>60</v>
      </c>
      <c r="H317" s="9" t="s">
        <v>61</v>
      </c>
      <c r="I317" s="9" t="s">
        <v>62</v>
      </c>
      <c r="J317" t="s">
        <v>63</v>
      </c>
    </row>
    <row r="318" spans="1:10">
      <c r="A318">
        <v>2022</v>
      </c>
      <c r="B318" t="s">
        <v>38</v>
      </c>
      <c r="C318" s="3">
        <v>3274</v>
      </c>
      <c r="D318" t="s">
        <v>11</v>
      </c>
      <c r="E318" t="s">
        <v>138</v>
      </c>
      <c r="F318">
        <v>147</v>
      </c>
      <c r="G318" t="s">
        <v>139</v>
      </c>
      <c r="H318" s="9" t="s">
        <v>140</v>
      </c>
      <c r="I318" s="9" t="s">
        <v>141</v>
      </c>
      <c r="J318" t="s">
        <v>142</v>
      </c>
    </row>
    <row r="319" spans="1:10">
      <c r="A319">
        <v>2022</v>
      </c>
      <c r="B319" t="s">
        <v>115</v>
      </c>
      <c r="C319" s="3">
        <v>574</v>
      </c>
      <c r="D319" t="s">
        <v>11</v>
      </c>
      <c r="E319" t="s">
        <v>59</v>
      </c>
      <c r="F319">
        <v>149</v>
      </c>
      <c r="G319" t="s">
        <v>60</v>
      </c>
      <c r="H319" s="9" t="s">
        <v>61</v>
      </c>
      <c r="I319" s="9" t="s">
        <v>62</v>
      </c>
      <c r="J319" t="s">
        <v>63</v>
      </c>
    </row>
    <row r="320" spans="1:10">
      <c r="A320">
        <v>2022</v>
      </c>
      <c r="B320" t="s">
        <v>116</v>
      </c>
      <c r="C320" s="3">
        <v>302</v>
      </c>
      <c r="D320" t="s">
        <v>11</v>
      </c>
      <c r="E320" t="s">
        <v>59</v>
      </c>
      <c r="F320">
        <v>149</v>
      </c>
      <c r="G320" t="s">
        <v>60</v>
      </c>
      <c r="H320" s="9" t="s">
        <v>61</v>
      </c>
      <c r="I320" s="9" t="s">
        <v>62</v>
      </c>
      <c r="J320" t="s">
        <v>63</v>
      </c>
    </row>
    <row r="321" spans="1:10">
      <c r="A321">
        <v>2022</v>
      </c>
      <c r="B321" t="s">
        <v>39</v>
      </c>
      <c r="C321" s="3">
        <v>4065</v>
      </c>
      <c r="D321" t="s">
        <v>11</v>
      </c>
      <c r="E321" t="s">
        <v>59</v>
      </c>
      <c r="F321">
        <v>147</v>
      </c>
      <c r="G321" t="s">
        <v>60</v>
      </c>
      <c r="H321" s="9" t="s">
        <v>61</v>
      </c>
      <c r="I321" s="9" t="s">
        <v>62</v>
      </c>
      <c r="J321" t="s">
        <v>63</v>
      </c>
    </row>
    <row r="322" spans="1:10">
      <c r="A322">
        <v>2022</v>
      </c>
      <c r="B322" t="s">
        <v>40</v>
      </c>
      <c r="C322" s="3">
        <v>5961</v>
      </c>
      <c r="D322" t="s">
        <v>11</v>
      </c>
      <c r="E322" t="s">
        <v>138</v>
      </c>
      <c r="F322">
        <v>147</v>
      </c>
      <c r="G322" t="s">
        <v>139</v>
      </c>
      <c r="H322" s="9" t="s">
        <v>140</v>
      </c>
      <c r="I322" s="9" t="s">
        <v>141</v>
      </c>
      <c r="J322" t="s">
        <v>142</v>
      </c>
    </row>
    <row r="323" spans="1:10">
      <c r="A323">
        <v>2022</v>
      </c>
      <c r="B323" t="s">
        <v>117</v>
      </c>
      <c r="C323" s="3">
        <v>351</v>
      </c>
      <c r="D323" t="s">
        <v>11</v>
      </c>
      <c r="E323" t="s">
        <v>59</v>
      </c>
      <c r="F323">
        <v>145</v>
      </c>
      <c r="G323" t="s">
        <v>60</v>
      </c>
      <c r="H323" s="9" t="s">
        <v>61</v>
      </c>
      <c r="I323" s="9" t="s">
        <v>62</v>
      </c>
      <c r="J323" t="s">
        <v>63</v>
      </c>
    </row>
    <row r="324" spans="1:10">
      <c r="A324">
        <v>2022</v>
      </c>
      <c r="B324" t="s">
        <v>118</v>
      </c>
      <c r="C324" s="3">
        <v>9406</v>
      </c>
      <c r="D324" t="s">
        <v>11</v>
      </c>
      <c r="E324" t="s">
        <v>138</v>
      </c>
      <c r="F324">
        <v>181</v>
      </c>
      <c r="G324" t="s">
        <v>139</v>
      </c>
      <c r="H324" s="9" t="s">
        <v>140</v>
      </c>
      <c r="I324" s="9" t="s">
        <v>141</v>
      </c>
      <c r="J324" t="s">
        <v>142</v>
      </c>
    </row>
    <row r="325" spans="1:10">
      <c r="A325">
        <v>2022</v>
      </c>
      <c r="B325" t="s">
        <v>119</v>
      </c>
      <c r="C325" s="3">
        <v>10945</v>
      </c>
      <c r="D325" t="s">
        <v>11</v>
      </c>
      <c r="E325" t="s">
        <v>138</v>
      </c>
      <c r="F325">
        <v>181</v>
      </c>
      <c r="G325" t="s">
        <v>139</v>
      </c>
      <c r="H325" s="9" t="s">
        <v>140</v>
      </c>
      <c r="I325" s="9" t="s">
        <v>141</v>
      </c>
      <c r="J325" t="s">
        <v>142</v>
      </c>
    </row>
    <row r="326" spans="1:10">
      <c r="A326">
        <v>2022</v>
      </c>
      <c r="B326" t="s">
        <v>41</v>
      </c>
      <c r="C326" s="3">
        <v>8922</v>
      </c>
      <c r="D326" t="s">
        <v>11</v>
      </c>
      <c r="E326" t="s">
        <v>59</v>
      </c>
      <c r="F326">
        <v>147</v>
      </c>
      <c r="G326" t="s">
        <v>60</v>
      </c>
      <c r="H326" s="9" t="s">
        <v>61</v>
      </c>
      <c r="I326" s="9" t="s">
        <v>62</v>
      </c>
      <c r="J326" t="s">
        <v>63</v>
      </c>
    </row>
    <row r="327" spans="1:10">
      <c r="A327">
        <v>2022</v>
      </c>
      <c r="B327" t="s">
        <v>120</v>
      </c>
      <c r="C327" s="3">
        <v>3354</v>
      </c>
      <c r="D327" t="s">
        <v>11</v>
      </c>
      <c r="E327" t="s">
        <v>59</v>
      </c>
      <c r="F327">
        <v>145</v>
      </c>
      <c r="G327" t="s">
        <v>60</v>
      </c>
      <c r="H327" s="9" t="s">
        <v>61</v>
      </c>
      <c r="I327" s="9" t="s">
        <v>62</v>
      </c>
      <c r="J327" t="s">
        <v>63</v>
      </c>
    </row>
    <row r="328" spans="1:10">
      <c r="A328">
        <v>2022</v>
      </c>
      <c r="B328" t="s">
        <v>42</v>
      </c>
      <c r="C328" s="3">
        <v>952</v>
      </c>
      <c r="D328" t="s">
        <v>11</v>
      </c>
      <c r="E328" t="s">
        <v>59</v>
      </c>
      <c r="F328">
        <v>147</v>
      </c>
      <c r="G328" t="s">
        <v>60</v>
      </c>
      <c r="H328" s="9" t="s">
        <v>61</v>
      </c>
      <c r="I328" s="9" t="s">
        <v>62</v>
      </c>
      <c r="J328" t="s">
        <v>63</v>
      </c>
    </row>
    <row r="329" spans="1:10">
      <c r="A329">
        <v>2022</v>
      </c>
      <c r="B329" t="s">
        <v>121</v>
      </c>
      <c r="C329" s="3">
        <v>41</v>
      </c>
      <c r="D329" t="s">
        <v>11</v>
      </c>
      <c r="E329" t="s">
        <v>59</v>
      </c>
      <c r="F329">
        <v>149</v>
      </c>
      <c r="G329" t="s">
        <v>60</v>
      </c>
      <c r="H329" s="9" t="s">
        <v>61</v>
      </c>
      <c r="I329" s="9" t="s">
        <v>62</v>
      </c>
      <c r="J329" t="s">
        <v>63</v>
      </c>
    </row>
    <row r="330" spans="1:10">
      <c r="A330">
        <v>2022</v>
      </c>
      <c r="B330" t="s">
        <v>122</v>
      </c>
      <c r="C330" s="3">
        <v>10</v>
      </c>
      <c r="D330" t="s">
        <v>11</v>
      </c>
      <c r="E330" t="s">
        <v>59</v>
      </c>
      <c r="F330">
        <v>149</v>
      </c>
      <c r="G330" t="s">
        <v>60</v>
      </c>
      <c r="H330" s="9" t="s">
        <v>61</v>
      </c>
      <c r="I330" s="9" t="s">
        <v>62</v>
      </c>
      <c r="J330" t="s">
        <v>63</v>
      </c>
    </row>
    <row r="331" spans="1:10">
      <c r="A331">
        <v>2022</v>
      </c>
      <c r="B331" t="s">
        <v>123</v>
      </c>
      <c r="C331" s="3">
        <v>-204</v>
      </c>
      <c r="D331" t="s">
        <v>11</v>
      </c>
      <c r="E331" t="s">
        <v>59</v>
      </c>
      <c r="F331">
        <v>145</v>
      </c>
      <c r="G331" t="s">
        <v>60</v>
      </c>
      <c r="H331" s="9" t="s">
        <v>61</v>
      </c>
      <c r="I331" s="9" t="s">
        <v>62</v>
      </c>
      <c r="J331" t="s">
        <v>63</v>
      </c>
    </row>
    <row r="332" spans="1:10">
      <c r="A332">
        <v>2022</v>
      </c>
      <c r="B332" t="s">
        <v>43</v>
      </c>
      <c r="C332" s="3">
        <v>419</v>
      </c>
      <c r="D332" t="s">
        <v>11</v>
      </c>
      <c r="E332" t="s">
        <v>138</v>
      </c>
      <c r="F332">
        <v>147</v>
      </c>
      <c r="G332" t="s">
        <v>139</v>
      </c>
      <c r="H332" s="9" t="s">
        <v>140</v>
      </c>
      <c r="I332" s="9" t="s">
        <v>141</v>
      </c>
      <c r="J332" t="s">
        <v>142</v>
      </c>
    </row>
    <row r="333" spans="1:10">
      <c r="A333">
        <v>2022</v>
      </c>
      <c r="B333" t="s">
        <v>124</v>
      </c>
      <c r="C333" s="3">
        <v>48688</v>
      </c>
      <c r="D333" t="s">
        <v>11</v>
      </c>
      <c r="E333" t="s">
        <v>138</v>
      </c>
      <c r="F333">
        <v>181</v>
      </c>
      <c r="G333" t="s">
        <v>139</v>
      </c>
      <c r="H333" s="9" t="s">
        <v>140</v>
      </c>
      <c r="I333" s="9" t="s">
        <v>141</v>
      </c>
      <c r="J333" t="s">
        <v>142</v>
      </c>
    </row>
    <row r="334" spans="1:10">
      <c r="A334">
        <v>2022</v>
      </c>
      <c r="B334" t="s">
        <v>125</v>
      </c>
      <c r="C334" s="3">
        <v>22771</v>
      </c>
      <c r="D334" t="s">
        <v>11</v>
      </c>
      <c r="E334" t="s">
        <v>138</v>
      </c>
      <c r="F334">
        <v>181</v>
      </c>
      <c r="G334" t="s">
        <v>139</v>
      </c>
      <c r="H334" s="9" t="s">
        <v>140</v>
      </c>
      <c r="I334" s="9" t="s">
        <v>141</v>
      </c>
      <c r="J334" t="s">
        <v>142</v>
      </c>
    </row>
    <row r="335" spans="1:10">
      <c r="A335">
        <v>2022</v>
      </c>
      <c r="B335" t="s">
        <v>126</v>
      </c>
      <c r="C335" s="3">
        <v>20351</v>
      </c>
      <c r="D335" t="s">
        <v>11</v>
      </c>
      <c r="E335" t="s">
        <v>138</v>
      </c>
      <c r="F335">
        <v>181</v>
      </c>
      <c r="G335" t="s">
        <v>139</v>
      </c>
      <c r="H335" s="9" t="s">
        <v>140</v>
      </c>
      <c r="I335" s="9" t="s">
        <v>141</v>
      </c>
      <c r="J335" t="s">
        <v>142</v>
      </c>
    </row>
    <row r="336" spans="1:10">
      <c r="A336">
        <v>2022</v>
      </c>
      <c r="B336" t="s">
        <v>127</v>
      </c>
      <c r="C336" s="3">
        <v>-255</v>
      </c>
      <c r="D336" t="s">
        <v>11</v>
      </c>
      <c r="E336" t="s">
        <v>138</v>
      </c>
      <c r="F336">
        <v>181</v>
      </c>
      <c r="G336" t="s">
        <v>139</v>
      </c>
      <c r="H336" s="9" t="s">
        <v>140</v>
      </c>
      <c r="I336" s="9" t="s">
        <v>141</v>
      </c>
      <c r="J336" t="s">
        <v>142</v>
      </c>
    </row>
    <row r="337" spans="1:10">
      <c r="A337">
        <v>2022</v>
      </c>
      <c r="B337" t="s">
        <v>128</v>
      </c>
      <c r="C337" s="3">
        <v>-537</v>
      </c>
      <c r="D337" t="s">
        <v>11</v>
      </c>
      <c r="E337" t="s">
        <v>138</v>
      </c>
      <c r="F337">
        <v>181</v>
      </c>
      <c r="G337" t="s">
        <v>139</v>
      </c>
      <c r="H337" s="9" t="s">
        <v>140</v>
      </c>
      <c r="I337" s="9" t="s">
        <v>141</v>
      </c>
      <c r="J337" t="s">
        <v>142</v>
      </c>
    </row>
    <row r="338" spans="1:10">
      <c r="A338">
        <v>2022</v>
      </c>
      <c r="B338" t="s">
        <v>129</v>
      </c>
      <c r="C338" s="3">
        <v>22771</v>
      </c>
      <c r="D338" t="s">
        <v>37</v>
      </c>
      <c r="E338" t="s">
        <v>138</v>
      </c>
      <c r="F338">
        <v>181</v>
      </c>
      <c r="G338" t="s">
        <v>139</v>
      </c>
      <c r="H338" s="9" t="s">
        <v>140</v>
      </c>
      <c r="I338" s="9" t="s">
        <v>141</v>
      </c>
      <c r="J338" t="s">
        <v>142</v>
      </c>
    </row>
    <row r="339" spans="1:10">
      <c r="A339">
        <v>2022</v>
      </c>
      <c r="B339" t="s">
        <v>44</v>
      </c>
      <c r="C339" s="3">
        <v>43516</v>
      </c>
      <c r="D339" t="s">
        <v>11</v>
      </c>
      <c r="E339" t="s">
        <v>138</v>
      </c>
      <c r="F339">
        <v>147</v>
      </c>
      <c r="G339" t="s">
        <v>139</v>
      </c>
      <c r="H339" s="9" t="s">
        <v>140</v>
      </c>
      <c r="I339" s="9" t="s">
        <v>141</v>
      </c>
      <c r="J339" t="s">
        <v>142</v>
      </c>
    </row>
    <row r="340" spans="1:10">
      <c r="A340">
        <v>2022</v>
      </c>
      <c r="B340" t="s">
        <v>130</v>
      </c>
      <c r="C340" s="3">
        <v>-1</v>
      </c>
      <c r="D340" t="s">
        <v>11</v>
      </c>
      <c r="E340" t="s">
        <v>59</v>
      </c>
      <c r="F340">
        <v>148</v>
      </c>
      <c r="G340" t="s">
        <v>60</v>
      </c>
      <c r="H340" s="9" t="s">
        <v>61</v>
      </c>
      <c r="I340" s="9" t="s">
        <v>62</v>
      </c>
      <c r="J340" t="s">
        <v>63</v>
      </c>
    </row>
    <row r="341" spans="1:10">
      <c r="A341">
        <v>2022</v>
      </c>
      <c r="B341" t="s">
        <v>131</v>
      </c>
      <c r="C341" s="3">
        <v>2000</v>
      </c>
      <c r="D341" t="s">
        <v>11</v>
      </c>
      <c r="E341" t="s">
        <v>59</v>
      </c>
      <c r="F341">
        <v>149</v>
      </c>
      <c r="G341" t="s">
        <v>60</v>
      </c>
      <c r="H341" s="9" t="s">
        <v>61</v>
      </c>
      <c r="I341" s="9" t="s">
        <v>62</v>
      </c>
      <c r="J341" t="s">
        <v>63</v>
      </c>
    </row>
    <row r="342" spans="1:10">
      <c r="A342">
        <v>2022</v>
      </c>
      <c r="B342" t="s">
        <v>45</v>
      </c>
      <c r="C342" s="3">
        <v>3470</v>
      </c>
      <c r="D342" t="s">
        <v>11</v>
      </c>
      <c r="E342" t="s">
        <v>59</v>
      </c>
      <c r="F342">
        <v>147</v>
      </c>
      <c r="G342" t="s">
        <v>60</v>
      </c>
      <c r="H342" s="9" t="s">
        <v>61</v>
      </c>
      <c r="I342" s="9" t="s">
        <v>62</v>
      </c>
      <c r="J342" t="s">
        <v>63</v>
      </c>
    </row>
    <row r="343" spans="1:10">
      <c r="A343">
        <v>2022</v>
      </c>
      <c r="B343" t="s">
        <v>132</v>
      </c>
      <c r="C343" s="3">
        <v>355</v>
      </c>
      <c r="D343" t="s">
        <v>11</v>
      </c>
      <c r="E343" t="s">
        <v>59</v>
      </c>
      <c r="F343">
        <v>149</v>
      </c>
      <c r="G343" t="s">
        <v>60</v>
      </c>
      <c r="H343" s="9" t="s">
        <v>61</v>
      </c>
      <c r="I343" s="9" t="s">
        <v>62</v>
      </c>
      <c r="J343" t="s">
        <v>63</v>
      </c>
    </row>
    <row r="344" spans="1:10">
      <c r="A344">
        <v>2022</v>
      </c>
      <c r="B344" t="s">
        <v>133</v>
      </c>
      <c r="C344" s="3">
        <v>184</v>
      </c>
      <c r="D344" t="s">
        <v>11</v>
      </c>
      <c r="E344" t="s">
        <v>59</v>
      </c>
      <c r="F344">
        <v>148</v>
      </c>
      <c r="G344" t="s">
        <v>60</v>
      </c>
      <c r="H344" s="9" t="s">
        <v>61</v>
      </c>
      <c r="I344" s="9" t="s">
        <v>62</v>
      </c>
      <c r="J344" t="s">
        <v>63</v>
      </c>
    </row>
    <row r="345" spans="1:10">
      <c r="A345">
        <v>2022</v>
      </c>
      <c r="B345" t="s">
        <v>134</v>
      </c>
      <c r="C345" s="3">
        <v>512</v>
      </c>
      <c r="D345" t="s">
        <v>11</v>
      </c>
      <c r="E345" t="s">
        <v>59</v>
      </c>
      <c r="F345">
        <v>145</v>
      </c>
      <c r="G345" t="s">
        <v>60</v>
      </c>
      <c r="H345" s="9" t="s">
        <v>61</v>
      </c>
      <c r="I345" s="9" t="s">
        <v>62</v>
      </c>
      <c r="J345" t="s">
        <v>63</v>
      </c>
    </row>
    <row r="346" spans="1:10">
      <c r="A346">
        <v>2022</v>
      </c>
      <c r="B346" t="s">
        <v>46</v>
      </c>
      <c r="C346" s="3">
        <v>115717</v>
      </c>
      <c r="D346" t="s">
        <v>11</v>
      </c>
      <c r="E346" t="s">
        <v>59</v>
      </c>
      <c r="F346">
        <v>147</v>
      </c>
      <c r="G346" t="s">
        <v>60</v>
      </c>
      <c r="H346" s="9" t="s">
        <v>61</v>
      </c>
      <c r="I346" s="9" t="s">
        <v>62</v>
      </c>
      <c r="J346" t="s">
        <v>63</v>
      </c>
    </row>
    <row r="347" spans="1:10">
      <c r="A347">
        <v>2022</v>
      </c>
      <c r="B347" t="s">
        <v>135</v>
      </c>
      <c r="C347" s="3">
        <v>33530</v>
      </c>
      <c r="D347" t="s">
        <v>11</v>
      </c>
      <c r="E347" t="s">
        <v>59</v>
      </c>
      <c r="F347">
        <v>145</v>
      </c>
      <c r="G347" t="s">
        <v>60</v>
      </c>
      <c r="H347" s="9" t="s">
        <v>61</v>
      </c>
      <c r="I347" s="9" t="s">
        <v>62</v>
      </c>
      <c r="J347" t="s">
        <v>63</v>
      </c>
    </row>
    <row r="348" spans="1:10">
      <c r="A348">
        <v>2022</v>
      </c>
      <c r="B348" t="s">
        <v>47</v>
      </c>
      <c r="C348" s="3">
        <v>80454</v>
      </c>
      <c r="D348" t="s">
        <v>11</v>
      </c>
      <c r="E348" t="s">
        <v>59</v>
      </c>
      <c r="F348">
        <v>147</v>
      </c>
      <c r="G348" t="s">
        <v>60</v>
      </c>
      <c r="H348" s="9" t="s">
        <v>61</v>
      </c>
      <c r="I348" s="9" t="s">
        <v>62</v>
      </c>
      <c r="J348" t="s">
        <v>63</v>
      </c>
    </row>
    <row r="349" spans="1:10">
      <c r="A349">
        <v>2022</v>
      </c>
      <c r="B349" t="s">
        <v>48</v>
      </c>
      <c r="C349" s="3">
        <v>94157</v>
      </c>
      <c r="D349" t="s">
        <v>11</v>
      </c>
      <c r="E349" t="s">
        <v>59</v>
      </c>
      <c r="F349">
        <v>147</v>
      </c>
      <c r="G349" t="s">
        <v>60</v>
      </c>
      <c r="H349" s="9" t="s">
        <v>61</v>
      </c>
      <c r="I349" s="9" t="s">
        <v>62</v>
      </c>
      <c r="J349" t="s">
        <v>63</v>
      </c>
    </row>
    <row r="350" spans="1:10">
      <c r="A350">
        <v>2022</v>
      </c>
      <c r="B350" t="s">
        <v>136</v>
      </c>
      <c r="C350" s="3">
        <v>-7638</v>
      </c>
      <c r="D350" t="s">
        <v>11</v>
      </c>
      <c r="E350" t="s">
        <v>59</v>
      </c>
      <c r="F350">
        <v>148</v>
      </c>
      <c r="G350" t="s">
        <v>60</v>
      </c>
      <c r="H350" s="9" t="s">
        <v>61</v>
      </c>
      <c r="I350" s="9" t="s">
        <v>62</v>
      </c>
      <c r="J350" t="s">
        <v>63</v>
      </c>
    </row>
    <row r="351" spans="1:10">
      <c r="A351">
        <v>2022</v>
      </c>
      <c r="B351" t="s">
        <v>49</v>
      </c>
      <c r="C351" s="3">
        <v>8063</v>
      </c>
      <c r="D351" t="s">
        <v>11</v>
      </c>
      <c r="E351" t="s">
        <v>59</v>
      </c>
      <c r="F351">
        <v>147</v>
      </c>
      <c r="G351" t="s">
        <v>60</v>
      </c>
      <c r="H351" s="9" t="s">
        <v>61</v>
      </c>
      <c r="I351" s="9" t="s">
        <v>62</v>
      </c>
      <c r="J351" t="s">
        <v>63</v>
      </c>
    </row>
    <row r="352" spans="1:10">
      <c r="A352">
        <v>2022</v>
      </c>
      <c r="B352" t="s">
        <v>137</v>
      </c>
      <c r="C352" s="3">
        <v>36884</v>
      </c>
      <c r="D352" t="s">
        <v>11</v>
      </c>
      <c r="E352" t="s">
        <v>59</v>
      </c>
      <c r="F352">
        <v>145</v>
      </c>
      <c r="G352" t="s">
        <v>60</v>
      </c>
      <c r="H352" s="9" t="s">
        <v>61</v>
      </c>
      <c r="I352" s="9" t="s">
        <v>62</v>
      </c>
      <c r="J352" t="s">
        <v>63</v>
      </c>
    </row>
    <row r="353" spans="1:10">
      <c r="A353">
        <v>2022</v>
      </c>
      <c r="B353" t="s">
        <v>50</v>
      </c>
      <c r="C353" s="3">
        <v>-40076</v>
      </c>
      <c r="D353" t="s">
        <v>11</v>
      </c>
      <c r="E353" t="s">
        <v>138</v>
      </c>
      <c r="F353">
        <v>147</v>
      </c>
      <c r="G353" t="s">
        <v>139</v>
      </c>
      <c r="H353" s="9" t="s">
        <v>140</v>
      </c>
      <c r="I353" s="9" t="s">
        <v>141</v>
      </c>
      <c r="J353" t="s">
        <v>142</v>
      </c>
    </row>
    <row r="354" spans="1:10">
      <c r="A354">
        <v>2022</v>
      </c>
      <c r="B354" t="s">
        <v>51</v>
      </c>
      <c r="C354" s="3">
        <v>7790</v>
      </c>
      <c r="D354" t="s">
        <v>11</v>
      </c>
      <c r="E354" t="s">
        <v>138</v>
      </c>
      <c r="F354">
        <v>181</v>
      </c>
      <c r="G354" t="s">
        <v>139</v>
      </c>
      <c r="H354" s="9" t="s">
        <v>140</v>
      </c>
      <c r="I354" s="9" t="s">
        <v>141</v>
      </c>
      <c r="J354" t="s">
        <v>142</v>
      </c>
    </row>
    <row r="355" spans="1:10">
      <c r="A355">
        <v>2023</v>
      </c>
      <c r="B355" t="s">
        <v>10</v>
      </c>
      <c r="C355" s="3">
        <v>688</v>
      </c>
      <c r="D355" t="s">
        <v>11</v>
      </c>
      <c r="E355" t="s">
        <v>138</v>
      </c>
      <c r="F355">
        <v>147</v>
      </c>
      <c r="G355" t="s">
        <v>139</v>
      </c>
      <c r="H355" s="9" t="s">
        <v>140</v>
      </c>
      <c r="I355" s="9" t="s">
        <v>141</v>
      </c>
      <c r="J355" t="s">
        <v>142</v>
      </c>
    </row>
    <row r="356" spans="1:10">
      <c r="A356">
        <v>2023</v>
      </c>
      <c r="B356" t="s">
        <v>57</v>
      </c>
      <c r="C356" s="3">
        <v>0</v>
      </c>
      <c r="D356" t="s">
        <v>11</v>
      </c>
      <c r="E356" t="s">
        <v>138</v>
      </c>
      <c r="F356">
        <v>181</v>
      </c>
      <c r="G356" t="s">
        <v>139</v>
      </c>
      <c r="H356" s="9" t="s">
        <v>140</v>
      </c>
      <c r="I356" s="9" t="s">
        <v>141</v>
      </c>
      <c r="J356" t="s">
        <v>142</v>
      </c>
    </row>
    <row r="357" spans="1:10">
      <c r="A357">
        <v>2023</v>
      </c>
      <c r="B357" t="s">
        <v>58</v>
      </c>
      <c r="C357" s="3">
        <v>0</v>
      </c>
      <c r="D357" t="s">
        <v>11</v>
      </c>
      <c r="E357" t="s">
        <v>144</v>
      </c>
      <c r="F357">
        <v>160</v>
      </c>
      <c r="G357" t="s">
        <v>145</v>
      </c>
      <c r="H357" s="9" t="s">
        <v>146</v>
      </c>
      <c r="I357" s="9" t="s">
        <v>147</v>
      </c>
      <c r="J357" t="s">
        <v>148</v>
      </c>
    </row>
    <row r="358" spans="1:10">
      <c r="A358">
        <v>2023</v>
      </c>
      <c r="B358" t="s">
        <v>17</v>
      </c>
      <c r="C358" s="3">
        <v>-4471</v>
      </c>
      <c r="D358" t="s">
        <v>11</v>
      </c>
      <c r="E358" t="s">
        <v>138</v>
      </c>
      <c r="F358">
        <v>147</v>
      </c>
      <c r="G358" t="s">
        <v>139</v>
      </c>
      <c r="H358" s="9" t="s">
        <v>140</v>
      </c>
      <c r="I358" s="9" t="s">
        <v>141</v>
      </c>
      <c r="J358" t="s">
        <v>142</v>
      </c>
    </row>
    <row r="359" spans="1:10">
      <c r="A359">
        <v>2023</v>
      </c>
      <c r="B359" t="s">
        <v>64</v>
      </c>
      <c r="C359" s="3">
        <v>1614</v>
      </c>
      <c r="D359" t="s">
        <v>11</v>
      </c>
      <c r="E359" t="s">
        <v>144</v>
      </c>
      <c r="F359">
        <v>193</v>
      </c>
      <c r="G359" t="s">
        <v>145</v>
      </c>
      <c r="H359" s="9" t="s">
        <v>146</v>
      </c>
      <c r="I359" s="9" t="s">
        <v>147</v>
      </c>
      <c r="J359" t="s">
        <v>148</v>
      </c>
    </row>
    <row r="360" spans="1:10">
      <c r="A360">
        <v>2023</v>
      </c>
      <c r="B360" t="s">
        <v>65</v>
      </c>
      <c r="C360" s="3">
        <v>1989</v>
      </c>
      <c r="D360" t="s">
        <v>11</v>
      </c>
      <c r="E360" t="s">
        <v>144</v>
      </c>
      <c r="F360">
        <v>193</v>
      </c>
      <c r="G360" t="s">
        <v>145</v>
      </c>
      <c r="H360" s="9" t="s">
        <v>146</v>
      </c>
      <c r="I360" s="9" t="s">
        <v>147</v>
      </c>
      <c r="J360" t="s">
        <v>148</v>
      </c>
    </row>
    <row r="361" spans="1:10">
      <c r="A361">
        <v>2023</v>
      </c>
      <c r="B361" t="s">
        <v>18</v>
      </c>
      <c r="C361" s="3">
        <v>61627</v>
      </c>
      <c r="D361" t="s">
        <v>11</v>
      </c>
      <c r="E361" t="s">
        <v>138</v>
      </c>
      <c r="F361">
        <v>147</v>
      </c>
      <c r="G361" t="s">
        <v>139</v>
      </c>
      <c r="H361" s="9" t="s">
        <v>140</v>
      </c>
      <c r="I361" s="9" t="s">
        <v>141</v>
      </c>
      <c r="J361" t="s">
        <v>142</v>
      </c>
    </row>
    <row r="362" spans="1:10">
      <c r="A362">
        <v>2023</v>
      </c>
      <c r="B362" t="s">
        <v>19</v>
      </c>
      <c r="C362" s="3">
        <v>650</v>
      </c>
      <c r="D362" t="s">
        <v>11</v>
      </c>
      <c r="E362" t="s">
        <v>138</v>
      </c>
      <c r="F362">
        <v>147</v>
      </c>
      <c r="G362" t="s">
        <v>139</v>
      </c>
      <c r="H362" s="9" t="s">
        <v>140</v>
      </c>
      <c r="I362" s="9" t="s">
        <v>141</v>
      </c>
      <c r="J362" t="s">
        <v>142</v>
      </c>
    </row>
    <row r="363" spans="1:10">
      <c r="A363">
        <v>2023</v>
      </c>
      <c r="B363" t="s">
        <v>66</v>
      </c>
      <c r="C363" s="3">
        <v>-149</v>
      </c>
      <c r="D363" t="s">
        <v>11</v>
      </c>
      <c r="E363" t="s">
        <v>144</v>
      </c>
      <c r="F363">
        <v>161</v>
      </c>
      <c r="G363" t="s">
        <v>145</v>
      </c>
      <c r="H363" s="9" t="s">
        <v>146</v>
      </c>
      <c r="I363" s="9" t="s">
        <v>147</v>
      </c>
      <c r="J363" t="s">
        <v>148</v>
      </c>
    </row>
    <row r="364" spans="1:10">
      <c r="A364">
        <v>2023</v>
      </c>
      <c r="B364" t="s">
        <v>67</v>
      </c>
      <c r="C364" s="3">
        <v>650</v>
      </c>
      <c r="D364" t="s">
        <v>11</v>
      </c>
      <c r="E364" t="s">
        <v>144</v>
      </c>
      <c r="F364">
        <v>161</v>
      </c>
      <c r="G364" t="s">
        <v>145</v>
      </c>
      <c r="H364" s="9" t="s">
        <v>146</v>
      </c>
      <c r="I364" s="9" t="s">
        <v>147</v>
      </c>
      <c r="J364" t="s">
        <v>148</v>
      </c>
    </row>
    <row r="365" spans="1:10">
      <c r="A365">
        <v>2023</v>
      </c>
      <c r="B365" t="s">
        <v>68</v>
      </c>
      <c r="C365" s="3">
        <v>2991</v>
      </c>
      <c r="D365" t="s">
        <v>11</v>
      </c>
      <c r="E365" t="s">
        <v>144</v>
      </c>
      <c r="F365">
        <v>161</v>
      </c>
      <c r="G365" t="s">
        <v>145</v>
      </c>
      <c r="H365" s="9" t="s">
        <v>146</v>
      </c>
      <c r="I365" s="9" t="s">
        <v>147</v>
      </c>
      <c r="J365" t="s">
        <v>148</v>
      </c>
    </row>
    <row r="366" spans="1:10">
      <c r="A366">
        <v>2023</v>
      </c>
      <c r="B366" t="s">
        <v>69</v>
      </c>
      <c r="C366" s="3">
        <v>799</v>
      </c>
      <c r="D366" t="s">
        <v>11</v>
      </c>
      <c r="E366" t="s">
        <v>144</v>
      </c>
      <c r="F366">
        <v>161</v>
      </c>
      <c r="G366" t="s">
        <v>145</v>
      </c>
      <c r="H366" s="9" t="s">
        <v>146</v>
      </c>
      <c r="I366" s="9" t="s">
        <v>147</v>
      </c>
      <c r="J366" t="s">
        <v>148</v>
      </c>
    </row>
    <row r="367" spans="1:10">
      <c r="A367">
        <v>2023</v>
      </c>
      <c r="B367" t="s">
        <v>70</v>
      </c>
      <c r="C367" s="3">
        <v>12</v>
      </c>
      <c r="D367" t="s">
        <v>11</v>
      </c>
      <c r="E367" t="s">
        <v>144</v>
      </c>
      <c r="F367">
        <v>161</v>
      </c>
      <c r="G367" t="s">
        <v>145</v>
      </c>
      <c r="H367" s="9" t="s">
        <v>146</v>
      </c>
      <c r="I367" s="9" t="s">
        <v>147</v>
      </c>
      <c r="J367" t="s">
        <v>148</v>
      </c>
    </row>
    <row r="368" spans="1:10">
      <c r="A368">
        <v>2023</v>
      </c>
      <c r="B368" t="s">
        <v>71</v>
      </c>
      <c r="C368" s="3">
        <v>201</v>
      </c>
      <c r="D368" t="s">
        <v>11</v>
      </c>
      <c r="E368" t="s">
        <v>144</v>
      </c>
      <c r="F368">
        <v>161</v>
      </c>
      <c r="G368" t="s">
        <v>145</v>
      </c>
      <c r="H368" s="9" t="s">
        <v>146</v>
      </c>
      <c r="I368" s="9" t="s">
        <v>147</v>
      </c>
      <c r="J368" t="s">
        <v>148</v>
      </c>
    </row>
    <row r="369" spans="1:10">
      <c r="A369">
        <v>2023</v>
      </c>
      <c r="B369" t="s">
        <v>72</v>
      </c>
      <c r="C369" s="3">
        <v>2649</v>
      </c>
      <c r="D369" t="s">
        <v>11</v>
      </c>
      <c r="E369" t="s">
        <v>144</v>
      </c>
      <c r="F369">
        <v>193</v>
      </c>
      <c r="G369" t="s">
        <v>145</v>
      </c>
      <c r="H369" s="9" t="s">
        <v>146</v>
      </c>
      <c r="I369" s="9" t="s">
        <v>147</v>
      </c>
      <c r="J369" t="s">
        <v>148</v>
      </c>
    </row>
    <row r="370" spans="1:10">
      <c r="A370">
        <v>2023</v>
      </c>
      <c r="B370" t="s">
        <v>20</v>
      </c>
      <c r="C370" s="3">
        <v>1150</v>
      </c>
      <c r="D370" t="s">
        <v>11</v>
      </c>
      <c r="E370" t="s">
        <v>138</v>
      </c>
      <c r="F370">
        <v>147</v>
      </c>
      <c r="G370" t="s">
        <v>139</v>
      </c>
      <c r="H370" s="9" t="s">
        <v>140</v>
      </c>
      <c r="I370" s="9" t="s">
        <v>141</v>
      </c>
      <c r="J370" t="s">
        <v>142</v>
      </c>
    </row>
    <row r="371" spans="1:10">
      <c r="A371">
        <v>2023</v>
      </c>
      <c r="B371" t="s">
        <v>78</v>
      </c>
      <c r="C371" s="3">
        <v>2771</v>
      </c>
      <c r="D371" t="s">
        <v>11</v>
      </c>
      <c r="E371" t="s">
        <v>144</v>
      </c>
      <c r="F371">
        <v>193</v>
      </c>
      <c r="G371" t="s">
        <v>145</v>
      </c>
      <c r="H371" s="9" t="s">
        <v>146</v>
      </c>
      <c r="I371" s="9" t="s">
        <v>147</v>
      </c>
      <c r="J371" t="s">
        <v>148</v>
      </c>
    </row>
    <row r="372" spans="1:10">
      <c r="A372">
        <v>2023</v>
      </c>
      <c r="B372" t="s">
        <v>79</v>
      </c>
      <c r="C372" s="3">
        <v>-1051</v>
      </c>
      <c r="D372" t="s">
        <v>11</v>
      </c>
      <c r="E372" t="s">
        <v>144</v>
      </c>
      <c r="F372">
        <v>161</v>
      </c>
      <c r="G372" t="s">
        <v>145</v>
      </c>
      <c r="H372" s="9" t="s">
        <v>146</v>
      </c>
      <c r="I372" s="9" t="s">
        <v>147</v>
      </c>
      <c r="J372" t="s">
        <v>148</v>
      </c>
    </row>
    <row r="373" spans="1:10">
      <c r="A373">
        <v>2023</v>
      </c>
      <c r="B373" t="s">
        <v>80</v>
      </c>
      <c r="C373" s="3">
        <v>-6821</v>
      </c>
      <c r="D373" t="s">
        <v>11</v>
      </c>
      <c r="E373" t="s">
        <v>144</v>
      </c>
      <c r="F373">
        <v>161</v>
      </c>
      <c r="G373" t="s">
        <v>145</v>
      </c>
      <c r="H373" s="9" t="s">
        <v>146</v>
      </c>
      <c r="I373" s="9" t="s">
        <v>147</v>
      </c>
      <c r="J373" t="s">
        <v>148</v>
      </c>
    </row>
    <row r="374" spans="1:10">
      <c r="A374">
        <v>2023</v>
      </c>
      <c r="B374" t="s">
        <v>81</v>
      </c>
      <c r="C374" s="3">
        <v>7711</v>
      </c>
      <c r="D374" t="s">
        <v>11</v>
      </c>
      <c r="E374" t="s">
        <v>144</v>
      </c>
      <c r="F374">
        <v>161</v>
      </c>
      <c r="G374" t="s">
        <v>145</v>
      </c>
      <c r="H374" s="9" t="s">
        <v>146</v>
      </c>
      <c r="I374" s="9" t="s">
        <v>147</v>
      </c>
      <c r="J374" t="s">
        <v>148</v>
      </c>
    </row>
    <row r="375" spans="1:10">
      <c r="A375">
        <v>2023</v>
      </c>
      <c r="B375" t="s">
        <v>82</v>
      </c>
      <c r="C375" s="3">
        <v>26215</v>
      </c>
      <c r="D375" t="s">
        <v>11</v>
      </c>
      <c r="E375" t="s">
        <v>144</v>
      </c>
      <c r="F375">
        <v>157</v>
      </c>
      <c r="G375" t="s">
        <v>145</v>
      </c>
      <c r="H375" s="9" t="s">
        <v>146</v>
      </c>
      <c r="I375" s="9" t="s">
        <v>147</v>
      </c>
      <c r="J375" t="s">
        <v>148</v>
      </c>
    </row>
    <row r="376" spans="1:10">
      <c r="A376">
        <v>2023</v>
      </c>
      <c r="B376" t="s">
        <v>83</v>
      </c>
      <c r="C376" s="3">
        <v>-4471</v>
      </c>
      <c r="D376" t="s">
        <v>11</v>
      </c>
      <c r="E376" t="s">
        <v>144</v>
      </c>
      <c r="F376">
        <v>160</v>
      </c>
      <c r="G376" t="s">
        <v>145</v>
      </c>
      <c r="H376" s="9" t="s">
        <v>146</v>
      </c>
      <c r="I376" s="9" t="s">
        <v>147</v>
      </c>
      <c r="J376" t="s">
        <v>148</v>
      </c>
    </row>
    <row r="377" spans="1:10">
      <c r="A377">
        <v>2023</v>
      </c>
      <c r="B377" t="s">
        <v>84</v>
      </c>
      <c r="C377" s="3">
        <v>24921</v>
      </c>
      <c r="D377" t="s">
        <v>11</v>
      </c>
      <c r="E377" t="s">
        <v>144</v>
      </c>
      <c r="F377">
        <v>160</v>
      </c>
      <c r="G377" t="s">
        <v>145</v>
      </c>
      <c r="H377" s="9" t="s">
        <v>146</v>
      </c>
      <c r="I377" s="9" t="s">
        <v>147</v>
      </c>
      <c r="J377" t="s">
        <v>148</v>
      </c>
    </row>
    <row r="378" spans="1:10">
      <c r="A378">
        <v>2023</v>
      </c>
      <c r="B378" t="s">
        <v>85</v>
      </c>
      <c r="C378" s="3">
        <v>228.2</v>
      </c>
      <c r="D378" t="s">
        <v>11</v>
      </c>
      <c r="E378" t="s">
        <v>144</v>
      </c>
      <c r="F378">
        <v>160</v>
      </c>
      <c r="G378" t="s">
        <v>145</v>
      </c>
      <c r="H378" s="9" t="s">
        <v>146</v>
      </c>
      <c r="I378" s="9" t="s">
        <v>147</v>
      </c>
      <c r="J378" t="s">
        <v>148</v>
      </c>
    </row>
    <row r="379" spans="1:10">
      <c r="A379">
        <v>2023</v>
      </c>
      <c r="B379" t="s">
        <v>21</v>
      </c>
      <c r="C379" s="3">
        <v>24906</v>
      </c>
      <c r="D379" t="s">
        <v>11</v>
      </c>
      <c r="E379" t="s">
        <v>138</v>
      </c>
      <c r="F379">
        <v>147</v>
      </c>
      <c r="G379" t="s">
        <v>139</v>
      </c>
      <c r="H379" s="9" t="s">
        <v>140</v>
      </c>
      <c r="I379" s="9" t="s">
        <v>141</v>
      </c>
      <c r="J379" t="s">
        <v>142</v>
      </c>
    </row>
    <row r="380" spans="1:10">
      <c r="A380">
        <v>2023</v>
      </c>
      <c r="B380" t="s">
        <v>22</v>
      </c>
      <c r="C380" s="3">
        <v>3269</v>
      </c>
      <c r="D380" t="s">
        <v>11</v>
      </c>
      <c r="E380" t="s">
        <v>138</v>
      </c>
      <c r="F380">
        <v>147</v>
      </c>
      <c r="G380" t="s">
        <v>139</v>
      </c>
      <c r="H380" s="9" t="s">
        <v>140</v>
      </c>
      <c r="I380" s="9" t="s">
        <v>141</v>
      </c>
      <c r="J380" t="s">
        <v>142</v>
      </c>
    </row>
    <row r="381" spans="1:10">
      <c r="A381">
        <v>2023</v>
      </c>
      <c r="B381" t="s">
        <v>23</v>
      </c>
      <c r="C381" s="3">
        <v>3249</v>
      </c>
      <c r="D381" t="s">
        <v>11</v>
      </c>
      <c r="E381" t="s">
        <v>138</v>
      </c>
      <c r="F381">
        <v>147</v>
      </c>
      <c r="G381" t="s">
        <v>139</v>
      </c>
      <c r="H381" s="9" t="s">
        <v>140</v>
      </c>
      <c r="I381" s="9" t="s">
        <v>141</v>
      </c>
      <c r="J381" t="s">
        <v>142</v>
      </c>
    </row>
    <row r="382" spans="1:10">
      <c r="A382">
        <v>2023</v>
      </c>
      <c r="B382" t="s">
        <v>86</v>
      </c>
      <c r="C382" s="3">
        <v>26159</v>
      </c>
      <c r="D382" t="s">
        <v>11</v>
      </c>
      <c r="E382" t="s">
        <v>138</v>
      </c>
      <c r="F382">
        <v>181</v>
      </c>
      <c r="G382" t="s">
        <v>139</v>
      </c>
      <c r="H382" s="9" t="s">
        <v>140</v>
      </c>
      <c r="I382" s="9" t="s">
        <v>141</v>
      </c>
      <c r="J382" t="s">
        <v>142</v>
      </c>
    </row>
    <row r="383" spans="1:10">
      <c r="A383">
        <v>2023</v>
      </c>
      <c r="B383" t="s">
        <v>24</v>
      </c>
      <c r="C383" s="3">
        <v>3306</v>
      </c>
      <c r="D383" t="s">
        <v>11</v>
      </c>
      <c r="E383" t="s">
        <v>138</v>
      </c>
      <c r="F383">
        <v>147</v>
      </c>
      <c r="G383" t="s">
        <v>139</v>
      </c>
      <c r="H383" s="9" t="s">
        <v>140</v>
      </c>
      <c r="I383" s="9" t="s">
        <v>141</v>
      </c>
      <c r="J383" t="s">
        <v>142</v>
      </c>
    </row>
    <row r="384" spans="1:10">
      <c r="A384">
        <v>2023</v>
      </c>
      <c r="B384" t="s">
        <v>87</v>
      </c>
      <c r="C384" s="3">
        <v>6226</v>
      </c>
      <c r="D384" t="s">
        <v>11</v>
      </c>
      <c r="E384" t="s">
        <v>144</v>
      </c>
      <c r="F384">
        <v>157</v>
      </c>
      <c r="G384" t="s">
        <v>145</v>
      </c>
      <c r="H384" s="9" t="s">
        <v>146</v>
      </c>
      <c r="I384" s="9" t="s">
        <v>147</v>
      </c>
      <c r="J384" t="s">
        <v>148</v>
      </c>
    </row>
    <row r="385" spans="1:10">
      <c r="A385">
        <v>2023</v>
      </c>
      <c r="B385" t="s">
        <v>88</v>
      </c>
      <c r="C385" s="3">
        <v>6689</v>
      </c>
      <c r="D385" t="s">
        <v>11</v>
      </c>
      <c r="E385" t="s">
        <v>144</v>
      </c>
      <c r="F385">
        <v>161</v>
      </c>
      <c r="G385" t="s">
        <v>145</v>
      </c>
      <c r="H385" s="9" t="s">
        <v>146</v>
      </c>
      <c r="I385" s="9" t="s">
        <v>147</v>
      </c>
      <c r="J385" t="s">
        <v>148</v>
      </c>
    </row>
    <row r="386" spans="1:10">
      <c r="A386">
        <v>2023</v>
      </c>
      <c r="B386" t="s">
        <v>25</v>
      </c>
      <c r="C386" s="3">
        <v>8031</v>
      </c>
      <c r="D386" t="s">
        <v>11</v>
      </c>
      <c r="E386" t="s">
        <v>138</v>
      </c>
      <c r="F386">
        <v>147</v>
      </c>
      <c r="G386" t="s">
        <v>139</v>
      </c>
      <c r="H386" s="9" t="s">
        <v>140</v>
      </c>
      <c r="I386" s="9" t="s">
        <v>141</v>
      </c>
      <c r="J386" t="s">
        <v>142</v>
      </c>
    </row>
    <row r="387" spans="1:10">
      <c r="A387">
        <v>2023</v>
      </c>
      <c r="B387" t="s">
        <v>89</v>
      </c>
      <c r="C387" s="3">
        <v>738</v>
      </c>
      <c r="D387" t="s">
        <v>11</v>
      </c>
      <c r="E387" t="s">
        <v>144</v>
      </c>
      <c r="F387">
        <v>161</v>
      </c>
      <c r="G387" t="s">
        <v>145</v>
      </c>
      <c r="H387" s="9" t="s">
        <v>146</v>
      </c>
      <c r="I387" s="9" t="s">
        <v>147</v>
      </c>
      <c r="J387" t="s">
        <v>148</v>
      </c>
    </row>
    <row r="388" spans="1:10">
      <c r="A388">
        <v>2023</v>
      </c>
      <c r="B388" t="s">
        <v>90</v>
      </c>
      <c r="C388" s="3">
        <v>0</v>
      </c>
      <c r="D388" t="s">
        <v>11</v>
      </c>
      <c r="E388" t="s">
        <v>144</v>
      </c>
      <c r="F388">
        <v>161</v>
      </c>
      <c r="G388" t="s">
        <v>145</v>
      </c>
      <c r="H388" s="9" t="s">
        <v>146</v>
      </c>
      <c r="I388" s="9" t="s">
        <v>147</v>
      </c>
      <c r="J388" t="s">
        <v>148</v>
      </c>
    </row>
    <row r="389" spans="1:10">
      <c r="A389">
        <v>2023</v>
      </c>
      <c r="B389" t="s">
        <v>143</v>
      </c>
      <c r="C389" s="3">
        <v>1504</v>
      </c>
      <c r="D389" t="s">
        <v>11</v>
      </c>
      <c r="E389" t="s">
        <v>138</v>
      </c>
      <c r="F389">
        <v>147</v>
      </c>
      <c r="G389" t="s">
        <v>139</v>
      </c>
      <c r="H389" s="9" t="s">
        <v>140</v>
      </c>
      <c r="I389" s="9" t="s">
        <v>141</v>
      </c>
      <c r="J389" t="s">
        <v>142</v>
      </c>
    </row>
    <row r="390" spans="1:10">
      <c r="A390">
        <v>2023</v>
      </c>
      <c r="B390" t="s">
        <v>91</v>
      </c>
      <c r="C390" s="3">
        <v>38796</v>
      </c>
      <c r="D390" t="s">
        <v>11</v>
      </c>
      <c r="E390" t="s">
        <v>144</v>
      </c>
      <c r="F390">
        <v>193</v>
      </c>
      <c r="G390" t="s">
        <v>145</v>
      </c>
      <c r="H390" s="9" t="s">
        <v>146</v>
      </c>
      <c r="I390" s="9" t="s">
        <v>147</v>
      </c>
      <c r="J390" t="s">
        <v>148</v>
      </c>
    </row>
    <row r="391" spans="1:10">
      <c r="A391">
        <v>2023</v>
      </c>
      <c r="B391" t="s">
        <v>92</v>
      </c>
      <c r="C391" s="3">
        <v>40983</v>
      </c>
      <c r="D391" t="s">
        <v>11</v>
      </c>
      <c r="E391" t="s">
        <v>144</v>
      </c>
      <c r="F391">
        <v>193</v>
      </c>
      <c r="G391" t="s">
        <v>145</v>
      </c>
      <c r="H391" s="9" t="s">
        <v>146</v>
      </c>
      <c r="I391" s="9" t="s">
        <v>147</v>
      </c>
      <c r="J391" t="s">
        <v>148</v>
      </c>
    </row>
    <row r="392" spans="1:10">
      <c r="A392">
        <v>2023</v>
      </c>
      <c r="B392" t="s">
        <v>93</v>
      </c>
      <c r="C392" s="3">
        <v>908</v>
      </c>
      <c r="D392" t="s">
        <v>11</v>
      </c>
      <c r="E392" t="s">
        <v>144</v>
      </c>
      <c r="F392">
        <v>161</v>
      </c>
      <c r="G392" t="s">
        <v>145</v>
      </c>
      <c r="H392" s="9" t="s">
        <v>146</v>
      </c>
      <c r="I392" s="9" t="s">
        <v>147</v>
      </c>
      <c r="J392" t="s">
        <v>148</v>
      </c>
    </row>
    <row r="393" spans="1:10">
      <c r="A393">
        <v>2023</v>
      </c>
      <c r="B393" t="s">
        <v>94</v>
      </c>
      <c r="C393" s="3">
        <v>141</v>
      </c>
      <c r="D393" t="s">
        <v>11</v>
      </c>
      <c r="E393" t="s">
        <v>144</v>
      </c>
      <c r="F393">
        <v>161</v>
      </c>
      <c r="G393" t="s">
        <v>145</v>
      </c>
      <c r="H393" s="9" t="s">
        <v>146</v>
      </c>
      <c r="I393" s="9" t="s">
        <v>147</v>
      </c>
      <c r="J393" t="s">
        <v>148</v>
      </c>
    </row>
    <row r="394" spans="1:10">
      <c r="A394">
        <v>2023</v>
      </c>
      <c r="B394" t="s">
        <v>95</v>
      </c>
      <c r="C394" s="3">
        <v>64</v>
      </c>
      <c r="D394" t="s">
        <v>11</v>
      </c>
      <c r="E394" t="s">
        <v>144</v>
      </c>
      <c r="F394">
        <v>161</v>
      </c>
      <c r="G394" t="s">
        <v>145</v>
      </c>
      <c r="H394" s="9" t="s">
        <v>146</v>
      </c>
      <c r="I394" s="9" t="s">
        <v>147</v>
      </c>
      <c r="J394" t="s">
        <v>148</v>
      </c>
    </row>
    <row r="395" spans="1:10">
      <c r="A395">
        <v>2023</v>
      </c>
      <c r="B395" t="s">
        <v>96</v>
      </c>
      <c r="C395" s="3">
        <v>125</v>
      </c>
      <c r="D395" t="s">
        <v>11</v>
      </c>
      <c r="E395" t="s">
        <v>144</v>
      </c>
      <c r="F395">
        <v>160</v>
      </c>
      <c r="G395" t="s">
        <v>145</v>
      </c>
      <c r="H395" s="9" t="s">
        <v>146</v>
      </c>
      <c r="I395" s="9" t="s">
        <v>147</v>
      </c>
      <c r="J395" t="s">
        <v>148</v>
      </c>
    </row>
    <row r="396" spans="1:10">
      <c r="A396">
        <v>2023</v>
      </c>
      <c r="B396" t="s">
        <v>27</v>
      </c>
      <c r="C396" s="3">
        <v>24921</v>
      </c>
      <c r="D396" t="s">
        <v>11</v>
      </c>
      <c r="E396" t="s">
        <v>138</v>
      </c>
      <c r="F396">
        <v>147</v>
      </c>
      <c r="G396" t="s">
        <v>139</v>
      </c>
      <c r="H396" s="9" t="s">
        <v>140</v>
      </c>
      <c r="I396" s="9" t="s">
        <v>141</v>
      </c>
      <c r="J396" t="s">
        <v>142</v>
      </c>
    </row>
    <row r="397" spans="1:10">
      <c r="A397">
        <v>2023</v>
      </c>
      <c r="B397" t="s">
        <v>97</v>
      </c>
      <c r="C397" s="3">
        <v>965</v>
      </c>
      <c r="D397" t="s">
        <v>11</v>
      </c>
      <c r="E397" t="s">
        <v>144</v>
      </c>
      <c r="F397">
        <v>160</v>
      </c>
      <c r="G397" t="s">
        <v>145</v>
      </c>
      <c r="H397" s="9" t="s">
        <v>146</v>
      </c>
      <c r="I397" s="9" t="s">
        <v>147</v>
      </c>
      <c r="J397" t="s">
        <v>148</v>
      </c>
    </row>
    <row r="398" spans="1:10">
      <c r="A398">
        <v>2023</v>
      </c>
      <c r="B398" t="s">
        <v>98</v>
      </c>
      <c r="C398" s="3">
        <v>915</v>
      </c>
      <c r="D398" t="s">
        <v>11</v>
      </c>
      <c r="E398" t="s">
        <v>144</v>
      </c>
      <c r="F398">
        <v>160</v>
      </c>
      <c r="G398" t="s">
        <v>145</v>
      </c>
      <c r="H398" s="9" t="s">
        <v>146</v>
      </c>
      <c r="I398" s="9" t="s">
        <v>147</v>
      </c>
      <c r="J398" t="s">
        <v>148</v>
      </c>
    </row>
    <row r="399" spans="1:10">
      <c r="A399">
        <v>2023</v>
      </c>
      <c r="B399" t="s">
        <v>99</v>
      </c>
      <c r="C399" s="3">
        <v>64</v>
      </c>
      <c r="D399" t="s">
        <v>11</v>
      </c>
      <c r="E399" t="s">
        <v>144</v>
      </c>
      <c r="F399">
        <v>160</v>
      </c>
      <c r="G399" t="s">
        <v>145</v>
      </c>
      <c r="H399" s="9" t="s">
        <v>146</v>
      </c>
      <c r="I399" s="9" t="s">
        <v>147</v>
      </c>
      <c r="J399" t="s">
        <v>148</v>
      </c>
    </row>
    <row r="400" spans="1:10">
      <c r="A400">
        <v>2023</v>
      </c>
      <c r="B400" t="s">
        <v>28</v>
      </c>
      <c r="C400" s="3">
        <v>608</v>
      </c>
      <c r="D400" t="s">
        <v>11</v>
      </c>
      <c r="E400" t="s">
        <v>138</v>
      </c>
      <c r="F400">
        <v>147</v>
      </c>
      <c r="G400" t="s">
        <v>139</v>
      </c>
      <c r="H400" s="9" t="s">
        <v>140</v>
      </c>
      <c r="I400" s="9" t="s">
        <v>141</v>
      </c>
      <c r="J400" t="s">
        <v>142</v>
      </c>
    </row>
    <row r="401" spans="1:10">
      <c r="A401">
        <v>2023</v>
      </c>
      <c r="B401" t="s">
        <v>100</v>
      </c>
      <c r="C401" s="3">
        <v>105</v>
      </c>
      <c r="D401" t="s">
        <v>11</v>
      </c>
      <c r="E401" t="s">
        <v>144</v>
      </c>
      <c r="F401">
        <v>161</v>
      </c>
      <c r="G401" t="s">
        <v>145</v>
      </c>
      <c r="H401" s="9" t="s">
        <v>146</v>
      </c>
      <c r="I401" s="9" t="s">
        <v>147</v>
      </c>
      <c r="J401" t="s">
        <v>148</v>
      </c>
    </row>
    <row r="402" spans="1:10">
      <c r="A402">
        <v>2023</v>
      </c>
      <c r="B402" t="s">
        <v>101</v>
      </c>
      <c r="C402" s="3">
        <v>138</v>
      </c>
      <c r="D402" t="s">
        <v>11</v>
      </c>
      <c r="E402" t="s">
        <v>144</v>
      </c>
      <c r="F402">
        <v>161</v>
      </c>
      <c r="G402" t="s">
        <v>145</v>
      </c>
      <c r="H402" s="9" t="s">
        <v>146</v>
      </c>
      <c r="I402" s="9" t="s">
        <v>147</v>
      </c>
      <c r="J402" t="s">
        <v>148</v>
      </c>
    </row>
    <row r="403" spans="1:10">
      <c r="A403">
        <v>2023</v>
      </c>
      <c r="B403" t="s">
        <v>102</v>
      </c>
      <c r="C403" s="3">
        <v>433</v>
      </c>
      <c r="D403" t="s">
        <v>11</v>
      </c>
      <c r="E403" t="s">
        <v>144</v>
      </c>
      <c r="F403">
        <v>157</v>
      </c>
      <c r="G403" t="s">
        <v>145</v>
      </c>
      <c r="H403" s="9" t="s">
        <v>146</v>
      </c>
      <c r="I403" s="9" t="s">
        <v>147</v>
      </c>
      <c r="J403" t="s">
        <v>148</v>
      </c>
    </row>
    <row r="404" spans="1:10">
      <c r="A404">
        <v>2023</v>
      </c>
      <c r="B404" t="s">
        <v>29</v>
      </c>
      <c r="C404" s="3">
        <v>81781</v>
      </c>
      <c r="D404" t="s">
        <v>11</v>
      </c>
      <c r="E404" t="s">
        <v>138</v>
      </c>
      <c r="F404">
        <v>147</v>
      </c>
      <c r="G404" t="s">
        <v>139</v>
      </c>
      <c r="H404" s="9" t="s">
        <v>140</v>
      </c>
      <c r="I404" s="9" t="s">
        <v>141</v>
      </c>
      <c r="J404" t="s">
        <v>142</v>
      </c>
    </row>
    <row r="405" spans="1:10">
      <c r="A405">
        <v>2023</v>
      </c>
      <c r="B405" t="s">
        <v>30</v>
      </c>
      <c r="C405" s="3">
        <v>77807</v>
      </c>
      <c r="D405" t="s">
        <v>11</v>
      </c>
      <c r="E405" t="s">
        <v>138</v>
      </c>
      <c r="F405">
        <v>147</v>
      </c>
      <c r="G405" t="s">
        <v>139</v>
      </c>
      <c r="H405" s="9" t="s">
        <v>140</v>
      </c>
      <c r="I405" s="9" t="s">
        <v>141</v>
      </c>
      <c r="J405" t="s">
        <v>142</v>
      </c>
    </row>
    <row r="406" spans="1:10">
      <c r="A406">
        <v>2023</v>
      </c>
      <c r="B406" t="s">
        <v>103</v>
      </c>
      <c r="C406" s="3">
        <v>6371</v>
      </c>
      <c r="D406" t="s">
        <v>11</v>
      </c>
      <c r="E406" t="s">
        <v>144</v>
      </c>
      <c r="F406">
        <v>161</v>
      </c>
      <c r="G406" t="s">
        <v>145</v>
      </c>
      <c r="H406" s="9" t="s">
        <v>146</v>
      </c>
      <c r="I406" s="9" t="s">
        <v>147</v>
      </c>
      <c r="J406" t="s">
        <v>148</v>
      </c>
    </row>
    <row r="407" spans="1:10">
      <c r="A407">
        <v>2023</v>
      </c>
      <c r="B407" t="s">
        <v>104</v>
      </c>
      <c r="C407" s="3">
        <v>15690</v>
      </c>
      <c r="D407" t="s">
        <v>11</v>
      </c>
      <c r="E407" t="s">
        <v>144</v>
      </c>
      <c r="F407">
        <v>161</v>
      </c>
      <c r="G407" t="s">
        <v>145</v>
      </c>
      <c r="H407" s="9" t="s">
        <v>146</v>
      </c>
      <c r="I407" s="9" t="s">
        <v>147</v>
      </c>
      <c r="J407" t="s">
        <v>148</v>
      </c>
    </row>
    <row r="408" spans="1:10">
      <c r="A408">
        <v>2023</v>
      </c>
      <c r="B408" t="s">
        <v>105</v>
      </c>
      <c r="C408" s="3">
        <v>4981</v>
      </c>
      <c r="D408" t="s">
        <v>11</v>
      </c>
      <c r="E408" t="s">
        <v>144</v>
      </c>
      <c r="F408">
        <v>161</v>
      </c>
      <c r="G408" t="s">
        <v>145</v>
      </c>
      <c r="H408" s="9" t="s">
        <v>146</v>
      </c>
      <c r="I408" s="9" t="s">
        <v>147</v>
      </c>
      <c r="J408" t="s">
        <v>148</v>
      </c>
    </row>
    <row r="409" spans="1:10">
      <c r="A409">
        <v>2023</v>
      </c>
      <c r="B409" t="s">
        <v>106</v>
      </c>
      <c r="C409" s="3">
        <v>5176</v>
      </c>
      <c r="D409" t="s">
        <v>11</v>
      </c>
      <c r="E409" t="s">
        <v>144</v>
      </c>
      <c r="F409">
        <v>157</v>
      </c>
      <c r="G409" t="s">
        <v>145</v>
      </c>
      <c r="H409" s="9" t="s">
        <v>146</v>
      </c>
      <c r="I409" s="9" t="s">
        <v>147</v>
      </c>
      <c r="J409" t="s">
        <v>148</v>
      </c>
    </row>
    <row r="410" spans="1:10">
      <c r="A410">
        <v>2023</v>
      </c>
      <c r="B410" t="s">
        <v>31</v>
      </c>
      <c r="C410" s="3">
        <v>3976</v>
      </c>
      <c r="D410" t="s">
        <v>11</v>
      </c>
      <c r="E410" t="s">
        <v>138</v>
      </c>
      <c r="F410">
        <v>147</v>
      </c>
      <c r="G410" t="s">
        <v>139</v>
      </c>
      <c r="H410" s="9" t="s">
        <v>140</v>
      </c>
      <c r="I410" s="9" t="s">
        <v>141</v>
      </c>
      <c r="J410" t="s">
        <v>142</v>
      </c>
    </row>
    <row r="411" spans="1:10">
      <c r="A411">
        <v>2023</v>
      </c>
      <c r="B411" t="s">
        <v>107</v>
      </c>
      <c r="C411" s="3">
        <v>40410</v>
      </c>
      <c r="D411" t="s">
        <v>37</v>
      </c>
      <c r="E411" t="s">
        <v>144</v>
      </c>
      <c r="F411">
        <v>193</v>
      </c>
      <c r="G411" t="s">
        <v>145</v>
      </c>
      <c r="H411" s="9" t="s">
        <v>146</v>
      </c>
      <c r="I411" s="9" t="s">
        <v>147</v>
      </c>
      <c r="J411" t="s">
        <v>148</v>
      </c>
    </row>
    <row r="412" spans="1:10">
      <c r="A412">
        <v>2023</v>
      </c>
      <c r="B412" t="s">
        <v>32</v>
      </c>
      <c r="C412" s="3">
        <v>61621</v>
      </c>
      <c r="D412" t="s">
        <v>11</v>
      </c>
      <c r="E412" t="s">
        <v>138</v>
      </c>
      <c r="F412">
        <v>181</v>
      </c>
      <c r="G412" t="s">
        <v>139</v>
      </c>
      <c r="H412" s="9" t="s">
        <v>140</v>
      </c>
      <c r="I412" s="9" t="s">
        <v>141</v>
      </c>
      <c r="J412" t="s">
        <v>142</v>
      </c>
    </row>
    <row r="413" spans="1:10">
      <c r="A413">
        <v>2023</v>
      </c>
      <c r="B413" t="s">
        <v>33</v>
      </c>
      <c r="C413" s="3">
        <v>20872</v>
      </c>
      <c r="D413" t="s">
        <v>11</v>
      </c>
      <c r="E413" t="s">
        <v>138</v>
      </c>
      <c r="F413">
        <v>147</v>
      </c>
      <c r="G413" t="s">
        <v>139</v>
      </c>
      <c r="H413" s="9" t="s">
        <v>140</v>
      </c>
      <c r="I413" s="9" t="s">
        <v>141</v>
      </c>
      <c r="J413" t="s">
        <v>142</v>
      </c>
    </row>
    <row r="414" spans="1:10">
      <c r="A414">
        <v>2023</v>
      </c>
      <c r="B414" t="s">
        <v>108</v>
      </c>
      <c r="C414" s="3">
        <v>42972</v>
      </c>
      <c r="D414" t="s">
        <v>37</v>
      </c>
      <c r="E414" t="s">
        <v>144</v>
      </c>
      <c r="F414">
        <v>193</v>
      </c>
      <c r="G414" t="s">
        <v>145</v>
      </c>
      <c r="H414" s="9" t="s">
        <v>146</v>
      </c>
      <c r="I414" s="9" t="s">
        <v>147</v>
      </c>
      <c r="J414" t="s">
        <v>148</v>
      </c>
    </row>
    <row r="415" spans="1:10">
      <c r="A415">
        <v>2023</v>
      </c>
      <c r="B415" t="s">
        <v>34</v>
      </c>
      <c r="C415" s="3">
        <v>277</v>
      </c>
      <c r="D415" t="s">
        <v>11</v>
      </c>
      <c r="E415" t="s">
        <v>138</v>
      </c>
      <c r="F415">
        <v>147</v>
      </c>
      <c r="G415" t="s">
        <v>139</v>
      </c>
      <c r="H415" s="9" t="s">
        <v>140</v>
      </c>
      <c r="I415" s="9" t="s">
        <v>141</v>
      </c>
      <c r="J415" t="s">
        <v>142</v>
      </c>
    </row>
    <row r="416" spans="1:10">
      <c r="A416">
        <v>2023</v>
      </c>
      <c r="B416" t="s">
        <v>109</v>
      </c>
      <c r="C416" s="3">
        <v>376</v>
      </c>
      <c r="D416" t="s">
        <v>11</v>
      </c>
      <c r="E416" t="s">
        <v>144</v>
      </c>
      <c r="F416">
        <v>157</v>
      </c>
      <c r="G416" t="s">
        <v>145</v>
      </c>
      <c r="H416" s="9" t="s">
        <v>146</v>
      </c>
      <c r="I416" s="9" t="s">
        <v>147</v>
      </c>
      <c r="J416" t="s">
        <v>148</v>
      </c>
    </row>
    <row r="417" spans="1:10">
      <c r="A417">
        <v>2023</v>
      </c>
      <c r="B417" t="s">
        <v>110</v>
      </c>
      <c r="C417" s="3">
        <v>2922</v>
      </c>
      <c r="D417" t="s">
        <v>11</v>
      </c>
      <c r="E417" t="s">
        <v>144</v>
      </c>
      <c r="F417">
        <v>157</v>
      </c>
      <c r="G417" t="s">
        <v>145</v>
      </c>
      <c r="H417" s="9" t="s">
        <v>146</v>
      </c>
      <c r="I417" s="9" t="s">
        <v>147</v>
      </c>
      <c r="J417" t="s">
        <v>148</v>
      </c>
    </row>
    <row r="418" spans="1:10">
      <c r="A418">
        <v>2023</v>
      </c>
      <c r="B418" t="s">
        <v>111</v>
      </c>
      <c r="C418" s="3">
        <v>37761</v>
      </c>
      <c r="D418" t="s">
        <v>11</v>
      </c>
      <c r="E418" t="s">
        <v>144</v>
      </c>
      <c r="F418">
        <v>193</v>
      </c>
      <c r="G418" t="s">
        <v>145</v>
      </c>
      <c r="H418" s="9" t="s">
        <v>146</v>
      </c>
      <c r="I418" s="9" t="s">
        <v>147</v>
      </c>
      <c r="J418" t="s">
        <v>148</v>
      </c>
    </row>
    <row r="419" spans="1:10">
      <c r="A419">
        <v>2023</v>
      </c>
      <c r="B419" t="s">
        <v>112</v>
      </c>
      <c r="C419" s="3">
        <v>2991</v>
      </c>
      <c r="D419" t="s">
        <v>11</v>
      </c>
      <c r="E419" t="s">
        <v>144</v>
      </c>
      <c r="F419">
        <v>157</v>
      </c>
      <c r="G419" t="s">
        <v>145</v>
      </c>
      <c r="H419" s="9" t="s">
        <v>146</v>
      </c>
      <c r="I419" s="9" t="s">
        <v>147</v>
      </c>
      <c r="J419" t="s">
        <v>148</v>
      </c>
    </row>
    <row r="420" spans="1:10">
      <c r="A420">
        <v>2023</v>
      </c>
      <c r="B420" t="s">
        <v>35</v>
      </c>
      <c r="C420" s="3">
        <v>53804</v>
      </c>
      <c r="D420" t="s">
        <v>11</v>
      </c>
      <c r="E420" t="s">
        <v>138</v>
      </c>
      <c r="F420">
        <v>181</v>
      </c>
      <c r="G420" t="s">
        <v>139</v>
      </c>
      <c r="H420" s="9" t="s">
        <v>140</v>
      </c>
      <c r="I420" s="9" t="s">
        <v>141</v>
      </c>
      <c r="J420" t="s">
        <v>142</v>
      </c>
    </row>
    <row r="421" spans="1:10">
      <c r="A421">
        <v>2023</v>
      </c>
      <c r="B421" t="s">
        <v>36</v>
      </c>
      <c r="C421" s="3">
        <v>19722</v>
      </c>
      <c r="D421" t="s">
        <v>37</v>
      </c>
      <c r="E421" t="s">
        <v>138</v>
      </c>
      <c r="F421">
        <v>147</v>
      </c>
      <c r="G421" t="s">
        <v>139</v>
      </c>
      <c r="H421" s="9" t="s">
        <v>140</v>
      </c>
      <c r="I421" s="9" t="s">
        <v>141</v>
      </c>
      <c r="J421" t="s">
        <v>142</v>
      </c>
    </row>
    <row r="422" spans="1:10">
      <c r="A422">
        <v>2023</v>
      </c>
      <c r="B422" t="s">
        <v>113</v>
      </c>
      <c r="C422" s="3">
        <v>40201</v>
      </c>
      <c r="D422" t="s">
        <v>11</v>
      </c>
      <c r="E422" t="s">
        <v>144</v>
      </c>
      <c r="F422">
        <v>193</v>
      </c>
      <c r="G422" t="s">
        <v>145</v>
      </c>
      <c r="H422" s="9" t="s">
        <v>146</v>
      </c>
      <c r="I422" s="9" t="s">
        <v>147</v>
      </c>
      <c r="J422" t="s">
        <v>148</v>
      </c>
    </row>
    <row r="423" spans="1:10">
      <c r="A423">
        <v>2023</v>
      </c>
      <c r="B423" t="s">
        <v>114</v>
      </c>
      <c r="C423" s="3">
        <v>21560</v>
      </c>
      <c r="D423" t="s">
        <v>37</v>
      </c>
      <c r="E423" t="s">
        <v>144</v>
      </c>
      <c r="F423">
        <v>160</v>
      </c>
      <c r="G423" t="s">
        <v>145</v>
      </c>
      <c r="H423" s="9" t="s">
        <v>146</v>
      </c>
      <c r="I423" s="9" t="s">
        <v>147</v>
      </c>
      <c r="J423" t="s">
        <v>148</v>
      </c>
    </row>
    <row r="424" spans="1:10">
      <c r="A424">
        <v>2023</v>
      </c>
      <c r="B424" t="s">
        <v>38</v>
      </c>
      <c r="C424" s="3">
        <v>3943</v>
      </c>
      <c r="D424" t="s">
        <v>11</v>
      </c>
      <c r="E424" t="s">
        <v>138</v>
      </c>
      <c r="F424">
        <v>147</v>
      </c>
      <c r="G424" t="s">
        <v>139</v>
      </c>
      <c r="H424" s="9" t="s">
        <v>140</v>
      </c>
      <c r="I424" s="9" t="s">
        <v>141</v>
      </c>
      <c r="J424" t="s">
        <v>142</v>
      </c>
    </row>
    <row r="425" spans="1:10">
      <c r="A425">
        <v>2023</v>
      </c>
      <c r="B425" t="s">
        <v>115</v>
      </c>
      <c r="C425" s="3">
        <v>495</v>
      </c>
      <c r="D425" t="s">
        <v>11</v>
      </c>
      <c r="E425" t="s">
        <v>144</v>
      </c>
      <c r="F425">
        <v>161</v>
      </c>
      <c r="G425" t="s">
        <v>145</v>
      </c>
      <c r="H425" s="9" t="s">
        <v>146</v>
      </c>
      <c r="I425" s="9" t="s">
        <v>147</v>
      </c>
      <c r="J425" t="s">
        <v>148</v>
      </c>
    </row>
    <row r="426" spans="1:10">
      <c r="A426">
        <v>2023</v>
      </c>
      <c r="B426" t="s">
        <v>116</v>
      </c>
      <c r="C426" s="3">
        <v>255</v>
      </c>
      <c r="D426" t="s">
        <v>11</v>
      </c>
      <c r="E426" t="s">
        <v>144</v>
      </c>
      <c r="F426">
        <v>161</v>
      </c>
      <c r="G426" t="s">
        <v>145</v>
      </c>
      <c r="H426" s="9" t="s">
        <v>146</v>
      </c>
      <c r="I426" s="9" t="s">
        <v>147</v>
      </c>
      <c r="J426" t="s">
        <v>148</v>
      </c>
    </row>
    <row r="427" spans="1:10">
      <c r="A427">
        <v>2023</v>
      </c>
      <c r="B427" t="s">
        <v>39</v>
      </c>
      <c r="C427" s="3">
        <v>4299</v>
      </c>
      <c r="D427" t="s">
        <v>11</v>
      </c>
      <c r="E427" t="s">
        <v>138</v>
      </c>
      <c r="F427">
        <v>147</v>
      </c>
      <c r="G427" t="s">
        <v>139</v>
      </c>
      <c r="H427" s="9" t="s">
        <v>140</v>
      </c>
      <c r="I427" s="9" t="s">
        <v>141</v>
      </c>
      <c r="J427" t="s">
        <v>142</v>
      </c>
    </row>
    <row r="428" spans="1:10">
      <c r="A428">
        <v>2023</v>
      </c>
      <c r="B428" t="s">
        <v>40</v>
      </c>
      <c r="C428" s="3">
        <v>6740</v>
      </c>
      <c r="D428" t="s">
        <v>11</v>
      </c>
      <c r="E428" t="s">
        <v>138</v>
      </c>
      <c r="F428">
        <v>147</v>
      </c>
      <c r="G428" t="s">
        <v>139</v>
      </c>
      <c r="H428" s="9" t="s">
        <v>140</v>
      </c>
      <c r="I428" s="9" t="s">
        <v>141</v>
      </c>
      <c r="J428" t="s">
        <v>142</v>
      </c>
    </row>
    <row r="429" spans="1:10">
      <c r="A429">
        <v>2023</v>
      </c>
      <c r="B429" t="s">
        <v>117</v>
      </c>
      <c r="C429" s="3">
        <v>353</v>
      </c>
      <c r="D429" t="s">
        <v>11</v>
      </c>
      <c r="E429" t="s">
        <v>144</v>
      </c>
      <c r="F429">
        <v>157</v>
      </c>
      <c r="G429" t="s">
        <v>145</v>
      </c>
      <c r="H429" s="9" t="s">
        <v>146</v>
      </c>
      <c r="I429" s="9" t="s">
        <v>147</v>
      </c>
      <c r="J429" t="s">
        <v>148</v>
      </c>
    </row>
    <row r="430" spans="1:10">
      <c r="A430">
        <v>2023</v>
      </c>
      <c r="B430" t="s">
        <v>118</v>
      </c>
      <c r="C430" s="3">
        <v>10852</v>
      </c>
      <c r="D430" t="s">
        <v>11</v>
      </c>
      <c r="E430" t="s">
        <v>138</v>
      </c>
      <c r="F430">
        <v>181</v>
      </c>
      <c r="G430" t="s">
        <v>139</v>
      </c>
      <c r="H430" s="9" t="s">
        <v>140</v>
      </c>
      <c r="I430" s="9" t="s">
        <v>141</v>
      </c>
      <c r="J430" t="s">
        <v>142</v>
      </c>
    </row>
    <row r="431" spans="1:10">
      <c r="A431">
        <v>2023</v>
      </c>
      <c r="B431" t="s">
        <v>119</v>
      </c>
      <c r="C431" s="3">
        <v>12424</v>
      </c>
      <c r="D431" t="s">
        <v>11</v>
      </c>
      <c r="E431" t="s">
        <v>138</v>
      </c>
      <c r="F431">
        <v>181</v>
      </c>
      <c r="G431" t="s">
        <v>139</v>
      </c>
      <c r="H431" s="9" t="s">
        <v>140</v>
      </c>
      <c r="I431" s="9" t="s">
        <v>141</v>
      </c>
      <c r="J431" t="s">
        <v>142</v>
      </c>
    </row>
    <row r="432" spans="1:10">
      <c r="A432">
        <v>2023</v>
      </c>
      <c r="B432" t="s">
        <v>41</v>
      </c>
      <c r="C432" s="3">
        <v>10282</v>
      </c>
      <c r="D432" t="s">
        <v>11</v>
      </c>
      <c r="E432" t="s">
        <v>138</v>
      </c>
      <c r="F432">
        <v>147</v>
      </c>
      <c r="G432" t="s">
        <v>139</v>
      </c>
      <c r="H432" s="9" t="s">
        <v>140</v>
      </c>
      <c r="I432" s="9" t="s">
        <v>141</v>
      </c>
      <c r="J432" t="s">
        <v>142</v>
      </c>
    </row>
    <row r="433" spans="1:10">
      <c r="A433">
        <v>2023</v>
      </c>
      <c r="B433" t="s">
        <v>120</v>
      </c>
      <c r="C433" s="3">
        <v>3371</v>
      </c>
      <c r="D433" t="s">
        <v>11</v>
      </c>
      <c r="E433" t="s">
        <v>144</v>
      </c>
      <c r="F433">
        <v>157</v>
      </c>
      <c r="G433" t="s">
        <v>145</v>
      </c>
      <c r="H433" s="9" t="s">
        <v>146</v>
      </c>
      <c r="I433" s="9" t="s">
        <v>147</v>
      </c>
      <c r="J433" t="s">
        <v>148</v>
      </c>
    </row>
    <row r="434" spans="1:10">
      <c r="A434">
        <v>2023</v>
      </c>
      <c r="B434" t="s">
        <v>42</v>
      </c>
      <c r="C434" s="3">
        <v>959</v>
      </c>
      <c r="D434" t="s">
        <v>11</v>
      </c>
      <c r="E434" t="s">
        <v>138</v>
      </c>
      <c r="F434">
        <v>147</v>
      </c>
      <c r="G434" t="s">
        <v>139</v>
      </c>
      <c r="H434" s="9" t="s">
        <v>140</v>
      </c>
      <c r="I434" s="9" t="s">
        <v>141</v>
      </c>
      <c r="J434" t="s">
        <v>142</v>
      </c>
    </row>
    <row r="435" spans="1:10">
      <c r="A435">
        <v>2023</v>
      </c>
      <c r="B435" t="s">
        <v>121</v>
      </c>
      <c r="C435" s="3">
        <v>67</v>
      </c>
      <c r="D435" t="s">
        <v>11</v>
      </c>
      <c r="E435" t="s">
        <v>144</v>
      </c>
      <c r="F435">
        <v>161</v>
      </c>
      <c r="G435" t="s">
        <v>145</v>
      </c>
      <c r="H435" s="9" t="s">
        <v>146</v>
      </c>
      <c r="I435" s="9" t="s">
        <v>147</v>
      </c>
      <c r="J435" t="s">
        <v>148</v>
      </c>
    </row>
    <row r="436" spans="1:10">
      <c r="A436">
        <v>2023</v>
      </c>
      <c r="B436" t="s">
        <v>122</v>
      </c>
      <c r="C436" s="3">
        <v>0</v>
      </c>
      <c r="D436" t="s">
        <v>11</v>
      </c>
      <c r="E436" t="s">
        <v>144</v>
      </c>
      <c r="F436">
        <v>161</v>
      </c>
      <c r="G436" t="s">
        <v>145</v>
      </c>
      <c r="H436" s="9" t="s">
        <v>146</v>
      </c>
      <c r="I436" s="9" t="s">
        <v>147</v>
      </c>
      <c r="J436" t="s">
        <v>148</v>
      </c>
    </row>
    <row r="437" spans="1:10">
      <c r="A437">
        <v>2023</v>
      </c>
      <c r="B437" t="s">
        <v>123</v>
      </c>
      <c r="C437" s="3">
        <v>-105</v>
      </c>
      <c r="D437" t="s">
        <v>11</v>
      </c>
      <c r="E437" t="s">
        <v>144</v>
      </c>
      <c r="F437">
        <v>157</v>
      </c>
      <c r="G437" t="s">
        <v>145</v>
      </c>
      <c r="H437" s="9" t="s">
        <v>146</v>
      </c>
      <c r="I437" s="9" t="s">
        <v>147</v>
      </c>
      <c r="J437" t="s">
        <v>148</v>
      </c>
    </row>
    <row r="438" spans="1:10">
      <c r="A438">
        <v>2023</v>
      </c>
      <c r="B438" t="s">
        <v>43</v>
      </c>
      <c r="C438" s="3">
        <v>518</v>
      </c>
      <c r="D438" t="s">
        <v>11</v>
      </c>
      <c r="E438" t="s">
        <v>138</v>
      </c>
      <c r="F438">
        <v>147</v>
      </c>
      <c r="G438" t="s">
        <v>139</v>
      </c>
      <c r="H438" s="9" t="s">
        <v>140</v>
      </c>
      <c r="I438" s="9" t="s">
        <v>141</v>
      </c>
      <c r="J438" t="s">
        <v>142</v>
      </c>
    </row>
    <row r="439" spans="1:10">
      <c r="A439">
        <v>2023</v>
      </c>
      <c r="B439" t="s">
        <v>124</v>
      </c>
      <c r="C439" s="3">
        <v>50853</v>
      </c>
      <c r="D439" t="s">
        <v>11</v>
      </c>
      <c r="E439" t="s">
        <v>138</v>
      </c>
      <c r="F439">
        <v>181</v>
      </c>
      <c r="G439" t="s">
        <v>139</v>
      </c>
      <c r="H439" s="9" t="s">
        <v>140</v>
      </c>
      <c r="I439" s="9" t="s">
        <v>141</v>
      </c>
      <c r="J439" t="s">
        <v>142</v>
      </c>
    </row>
    <row r="440" spans="1:10">
      <c r="A440">
        <v>2023</v>
      </c>
      <c r="B440" t="s">
        <v>125</v>
      </c>
      <c r="C440" s="3">
        <v>26121</v>
      </c>
      <c r="D440" t="s">
        <v>11</v>
      </c>
      <c r="E440" t="s">
        <v>138</v>
      </c>
      <c r="F440">
        <v>181</v>
      </c>
      <c r="G440" t="s">
        <v>139</v>
      </c>
      <c r="H440" s="9" t="s">
        <v>140</v>
      </c>
      <c r="I440" s="9" t="s">
        <v>141</v>
      </c>
      <c r="J440" t="s">
        <v>142</v>
      </c>
    </row>
    <row r="441" spans="1:10">
      <c r="A441">
        <v>2023</v>
      </c>
      <c r="B441" t="s">
        <v>126</v>
      </c>
      <c r="C441" s="3">
        <v>23276</v>
      </c>
      <c r="D441" t="s">
        <v>11</v>
      </c>
      <c r="E441" t="s">
        <v>138</v>
      </c>
      <c r="F441">
        <v>181</v>
      </c>
      <c r="G441" t="s">
        <v>139</v>
      </c>
      <c r="H441" s="9" t="s">
        <v>140</v>
      </c>
      <c r="I441" s="9" t="s">
        <v>141</v>
      </c>
      <c r="J441" t="s">
        <v>142</v>
      </c>
    </row>
    <row r="442" spans="1:10">
      <c r="A442">
        <v>2023</v>
      </c>
      <c r="B442" t="s">
        <v>127</v>
      </c>
      <c r="C442" s="3">
        <v>106</v>
      </c>
      <c r="D442" t="s">
        <v>11</v>
      </c>
      <c r="E442" t="s">
        <v>138</v>
      </c>
      <c r="F442">
        <v>181</v>
      </c>
      <c r="G442" t="s">
        <v>139</v>
      </c>
      <c r="H442" s="9" t="s">
        <v>140</v>
      </c>
      <c r="I442" s="9" t="s">
        <v>141</v>
      </c>
      <c r="J442" t="s">
        <v>142</v>
      </c>
    </row>
    <row r="443" spans="1:10">
      <c r="A443">
        <v>2023</v>
      </c>
      <c r="B443" t="s">
        <v>128</v>
      </c>
      <c r="C443" s="3">
        <v>-38</v>
      </c>
      <c r="D443" t="s">
        <v>11</v>
      </c>
      <c r="E443" t="s">
        <v>138</v>
      </c>
      <c r="F443">
        <v>181</v>
      </c>
      <c r="G443" t="s">
        <v>139</v>
      </c>
      <c r="H443" s="9" t="s">
        <v>140</v>
      </c>
      <c r="I443" s="9" t="s">
        <v>141</v>
      </c>
      <c r="J443" t="s">
        <v>142</v>
      </c>
    </row>
    <row r="444" spans="1:10">
      <c r="A444">
        <v>2023</v>
      </c>
      <c r="B444" t="s">
        <v>129</v>
      </c>
      <c r="C444" s="3">
        <v>26121</v>
      </c>
      <c r="D444" t="s">
        <v>37</v>
      </c>
      <c r="E444" t="s">
        <v>138</v>
      </c>
      <c r="F444">
        <v>181</v>
      </c>
      <c r="G444" t="s">
        <v>139</v>
      </c>
      <c r="H444" s="9" t="s">
        <v>140</v>
      </c>
      <c r="I444" s="9" t="s">
        <v>141</v>
      </c>
      <c r="J444" t="s">
        <v>142</v>
      </c>
    </row>
    <row r="445" spans="1:10">
      <c r="A445">
        <v>2023</v>
      </c>
      <c r="B445" t="s">
        <v>44</v>
      </c>
      <c r="C445" s="3">
        <v>45591</v>
      </c>
      <c r="D445" t="s">
        <v>11</v>
      </c>
      <c r="E445" t="s">
        <v>138</v>
      </c>
      <c r="F445">
        <v>147</v>
      </c>
      <c r="G445" t="s">
        <v>139</v>
      </c>
      <c r="H445" s="9" t="s">
        <v>140</v>
      </c>
      <c r="I445" s="9" t="s">
        <v>141</v>
      </c>
      <c r="J445" t="s">
        <v>142</v>
      </c>
    </row>
    <row r="446" spans="1:10">
      <c r="A446">
        <v>2023</v>
      </c>
      <c r="B446" t="s">
        <v>130</v>
      </c>
      <c r="C446" s="3">
        <v>-1</v>
      </c>
      <c r="D446" t="s">
        <v>11</v>
      </c>
      <c r="E446" t="s">
        <v>144</v>
      </c>
      <c r="F446">
        <v>160</v>
      </c>
      <c r="G446" t="s">
        <v>145</v>
      </c>
      <c r="H446" s="9" t="s">
        <v>146</v>
      </c>
      <c r="I446" s="9" t="s">
        <v>147</v>
      </c>
      <c r="J446" t="s">
        <v>148</v>
      </c>
    </row>
    <row r="447" spans="1:10">
      <c r="A447">
        <v>2023</v>
      </c>
      <c r="B447" t="s">
        <v>131</v>
      </c>
      <c r="C447" s="3">
        <v>958</v>
      </c>
      <c r="D447" t="s">
        <v>11</v>
      </c>
      <c r="E447" t="s">
        <v>144</v>
      </c>
      <c r="F447">
        <v>161</v>
      </c>
      <c r="G447" t="s">
        <v>145</v>
      </c>
      <c r="H447" s="9" t="s">
        <v>146</v>
      </c>
      <c r="I447" s="9" t="s">
        <v>147</v>
      </c>
      <c r="J447" t="s">
        <v>148</v>
      </c>
    </row>
    <row r="448" spans="1:10">
      <c r="A448">
        <v>2023</v>
      </c>
      <c r="B448" t="s">
        <v>45</v>
      </c>
      <c r="C448" s="3">
        <v>5137</v>
      </c>
      <c r="D448" t="s">
        <v>11</v>
      </c>
      <c r="E448" t="s">
        <v>138</v>
      </c>
      <c r="F448">
        <v>147</v>
      </c>
      <c r="G448" t="s">
        <v>139</v>
      </c>
      <c r="H448" s="9" t="s">
        <v>140</v>
      </c>
      <c r="I448" s="9" t="s">
        <v>141</v>
      </c>
      <c r="J448" t="s">
        <v>142</v>
      </c>
    </row>
    <row r="449" spans="1:10">
      <c r="A449">
        <v>2023</v>
      </c>
      <c r="B449" t="s">
        <v>132</v>
      </c>
      <c r="C449" s="3">
        <v>-1664</v>
      </c>
      <c r="D449" t="s">
        <v>11</v>
      </c>
      <c r="E449" t="s">
        <v>144</v>
      </c>
      <c r="F449">
        <v>161</v>
      </c>
      <c r="G449" t="s">
        <v>145</v>
      </c>
      <c r="H449" s="9" t="s">
        <v>146</v>
      </c>
      <c r="I449" s="9" t="s">
        <v>147</v>
      </c>
      <c r="J449" t="s">
        <v>148</v>
      </c>
    </row>
    <row r="450" spans="1:10">
      <c r="A450">
        <v>2023</v>
      </c>
      <c r="B450" t="s">
        <v>133</v>
      </c>
      <c r="C450" s="3">
        <v>216</v>
      </c>
      <c r="D450" t="s">
        <v>11</v>
      </c>
      <c r="E450" t="s">
        <v>144</v>
      </c>
      <c r="F450">
        <v>160</v>
      </c>
      <c r="G450" t="s">
        <v>145</v>
      </c>
      <c r="H450" s="9" t="s">
        <v>146</v>
      </c>
      <c r="I450" s="9" t="s">
        <v>147</v>
      </c>
      <c r="J450" t="s">
        <v>148</v>
      </c>
    </row>
    <row r="451" spans="1:10">
      <c r="A451">
        <v>2023</v>
      </c>
      <c r="B451" t="s">
        <v>134</v>
      </c>
      <c r="C451" s="3">
        <v>380</v>
      </c>
      <c r="D451" t="s">
        <v>11</v>
      </c>
      <c r="E451" t="s">
        <v>144</v>
      </c>
      <c r="F451">
        <v>157</v>
      </c>
      <c r="G451" t="s">
        <v>145</v>
      </c>
      <c r="H451" s="9" t="s">
        <v>146</v>
      </c>
      <c r="I451" s="9" t="s">
        <v>147</v>
      </c>
      <c r="J451" t="s">
        <v>148</v>
      </c>
    </row>
    <row r="452" spans="1:10">
      <c r="A452">
        <v>2023</v>
      </c>
      <c r="B452" t="s">
        <v>46</v>
      </c>
      <c r="C452" s="3">
        <v>125978</v>
      </c>
      <c r="D452" t="s">
        <v>11</v>
      </c>
      <c r="E452" t="s">
        <v>138</v>
      </c>
      <c r="F452">
        <v>147</v>
      </c>
      <c r="G452" t="s">
        <v>139</v>
      </c>
      <c r="H452" s="9" t="s">
        <v>140</v>
      </c>
      <c r="I452" s="9" t="s">
        <v>141</v>
      </c>
      <c r="J452" t="s">
        <v>142</v>
      </c>
    </row>
    <row r="453" spans="1:10">
      <c r="A453">
        <v>2023</v>
      </c>
      <c r="B453" t="s">
        <v>135</v>
      </c>
      <c r="C453" s="3">
        <v>37993</v>
      </c>
      <c r="D453" t="s">
        <v>11</v>
      </c>
      <c r="E453" t="s">
        <v>144</v>
      </c>
      <c r="F453">
        <v>157</v>
      </c>
      <c r="G453" t="s">
        <v>145</v>
      </c>
      <c r="H453" s="9" t="s">
        <v>146</v>
      </c>
      <c r="I453" s="9" t="s">
        <v>147</v>
      </c>
      <c r="J453" t="s">
        <v>148</v>
      </c>
    </row>
    <row r="454" spans="1:10">
      <c r="A454">
        <v>2023</v>
      </c>
      <c r="B454" t="s">
        <v>47</v>
      </c>
      <c r="C454" s="3">
        <v>88810</v>
      </c>
      <c r="D454" t="s">
        <v>11</v>
      </c>
      <c r="E454" t="s">
        <v>138</v>
      </c>
      <c r="F454">
        <v>147</v>
      </c>
      <c r="G454" t="s">
        <v>139</v>
      </c>
      <c r="H454" s="9" t="s">
        <v>140</v>
      </c>
      <c r="I454" s="9" t="s">
        <v>141</v>
      </c>
      <c r="J454" t="s">
        <v>142</v>
      </c>
    </row>
    <row r="455" spans="1:10">
      <c r="A455">
        <v>2023</v>
      </c>
      <c r="B455" t="s">
        <v>48</v>
      </c>
      <c r="C455" s="3">
        <v>101057</v>
      </c>
      <c r="D455" t="s">
        <v>11</v>
      </c>
      <c r="E455" t="s">
        <v>138</v>
      </c>
      <c r="F455">
        <v>147</v>
      </c>
      <c r="G455" t="s">
        <v>139</v>
      </c>
      <c r="H455" s="9" t="s">
        <v>140</v>
      </c>
      <c r="I455" s="9" t="s">
        <v>141</v>
      </c>
      <c r="J455" t="s">
        <v>142</v>
      </c>
    </row>
    <row r="456" spans="1:10">
      <c r="A456">
        <v>2023</v>
      </c>
      <c r="B456" t="s">
        <v>136</v>
      </c>
      <c r="C456" s="3">
        <v>1974</v>
      </c>
      <c r="D456" t="s">
        <v>11</v>
      </c>
      <c r="E456" t="s">
        <v>144</v>
      </c>
      <c r="F456">
        <v>160</v>
      </c>
      <c r="G456" t="s">
        <v>145</v>
      </c>
      <c r="H456" s="9" t="s">
        <v>146</v>
      </c>
      <c r="I456" s="9" t="s">
        <v>147</v>
      </c>
      <c r="J456" t="s">
        <v>148</v>
      </c>
    </row>
    <row r="457" spans="1:10">
      <c r="A457">
        <v>2023</v>
      </c>
      <c r="B457" t="s">
        <v>49</v>
      </c>
      <c r="C457" s="3">
        <v>8143</v>
      </c>
      <c r="D457" t="s">
        <v>11</v>
      </c>
      <c r="E457" t="s">
        <v>138</v>
      </c>
      <c r="F457">
        <v>147</v>
      </c>
      <c r="G457" t="s">
        <v>139</v>
      </c>
      <c r="H457" s="9" t="s">
        <v>140</v>
      </c>
      <c r="I457" s="9" t="s">
        <v>141</v>
      </c>
      <c r="J457" t="s">
        <v>142</v>
      </c>
    </row>
    <row r="458" spans="1:10">
      <c r="A458">
        <v>2023</v>
      </c>
      <c r="B458" t="s">
        <v>137</v>
      </c>
      <c r="C458" s="3">
        <v>41364</v>
      </c>
      <c r="D458" t="s">
        <v>11</v>
      </c>
      <c r="E458" t="s">
        <v>144</v>
      </c>
      <c r="F458">
        <v>157</v>
      </c>
      <c r="G458" t="s">
        <v>145</v>
      </c>
      <c r="H458" s="9" t="s">
        <v>146</v>
      </c>
      <c r="I458" s="9" t="s">
        <v>147</v>
      </c>
      <c r="J458" t="s">
        <v>148</v>
      </c>
    </row>
    <row r="459" spans="1:10">
      <c r="A459">
        <v>2023</v>
      </c>
      <c r="B459" t="s">
        <v>50</v>
      </c>
      <c r="C459" s="3">
        <v>-41105</v>
      </c>
      <c r="D459" t="s">
        <v>11</v>
      </c>
      <c r="E459" t="s">
        <v>138</v>
      </c>
      <c r="F459">
        <v>147</v>
      </c>
      <c r="G459" t="s">
        <v>139</v>
      </c>
      <c r="H459" s="9" t="s">
        <v>140</v>
      </c>
      <c r="I459" s="9" t="s">
        <v>141</v>
      </c>
      <c r="J459" t="s">
        <v>142</v>
      </c>
    </row>
    <row r="460" spans="1:10">
      <c r="A460">
        <v>2023</v>
      </c>
      <c r="B460" t="s">
        <v>51</v>
      </c>
      <c r="C460" s="3">
        <v>7817</v>
      </c>
      <c r="D460" t="s">
        <v>11</v>
      </c>
      <c r="E460" t="s">
        <v>138</v>
      </c>
      <c r="F460">
        <v>181</v>
      </c>
      <c r="G460" t="s">
        <v>139</v>
      </c>
      <c r="H460" s="9" t="s">
        <v>140</v>
      </c>
      <c r="I460" s="9" t="s">
        <v>141</v>
      </c>
      <c r="J460" t="s">
        <v>142</v>
      </c>
    </row>
    <row r="461" spans="1:10">
      <c r="A461">
        <v>2024</v>
      </c>
      <c r="B461" t="s">
        <v>10</v>
      </c>
      <c r="C461" s="3">
        <v>752</v>
      </c>
      <c r="D461" t="s">
        <v>11</v>
      </c>
      <c r="E461" t="s">
        <v>149</v>
      </c>
      <c r="F461">
        <v>150</v>
      </c>
      <c r="G461" t="s">
        <v>150</v>
      </c>
      <c r="H461" s="9" t="s">
        <v>151</v>
      </c>
      <c r="I461" s="9" t="s">
        <v>152</v>
      </c>
      <c r="J461" t="s">
        <v>153</v>
      </c>
    </row>
    <row r="462" spans="1:10">
      <c r="A462">
        <v>2024</v>
      </c>
      <c r="B462" t="s">
        <v>57</v>
      </c>
      <c r="C462" s="3">
        <v>0</v>
      </c>
      <c r="D462" t="s">
        <v>11</v>
      </c>
      <c r="E462" t="s">
        <v>144</v>
      </c>
      <c r="F462">
        <v>195</v>
      </c>
      <c r="G462" t="s">
        <v>145</v>
      </c>
      <c r="H462" s="9" t="s">
        <v>146</v>
      </c>
      <c r="I462" s="9" t="s">
        <v>147</v>
      </c>
      <c r="J462" t="s">
        <v>148</v>
      </c>
    </row>
    <row r="463" spans="1:10">
      <c r="A463">
        <v>2024</v>
      </c>
      <c r="B463" t="s">
        <v>58</v>
      </c>
      <c r="C463" s="3">
        <v>0</v>
      </c>
      <c r="D463" t="s">
        <v>11</v>
      </c>
      <c r="E463" t="s">
        <v>144</v>
      </c>
      <c r="F463">
        <v>160</v>
      </c>
      <c r="G463" t="s">
        <v>145</v>
      </c>
      <c r="H463" s="9" t="s">
        <v>146</v>
      </c>
      <c r="I463" s="9" t="s">
        <v>147</v>
      </c>
      <c r="J463" t="s">
        <v>148</v>
      </c>
    </row>
    <row r="464" spans="1:10">
      <c r="A464">
        <v>2024</v>
      </c>
      <c r="B464" t="s">
        <v>17</v>
      </c>
      <c r="C464" s="3">
        <v>-4967</v>
      </c>
      <c r="D464" t="s">
        <v>11</v>
      </c>
      <c r="E464" t="s">
        <v>144</v>
      </c>
      <c r="F464">
        <v>159</v>
      </c>
      <c r="G464" t="s">
        <v>145</v>
      </c>
      <c r="H464" s="9" t="s">
        <v>146</v>
      </c>
      <c r="I464" s="9" t="s">
        <v>147</v>
      </c>
      <c r="J464" t="s">
        <v>148</v>
      </c>
    </row>
    <row r="465" spans="1:10">
      <c r="A465">
        <v>2024</v>
      </c>
      <c r="B465" t="s">
        <v>64</v>
      </c>
      <c r="C465" s="3">
        <v>2095</v>
      </c>
      <c r="D465" t="s">
        <v>11</v>
      </c>
      <c r="E465" t="s">
        <v>144</v>
      </c>
      <c r="F465">
        <v>193</v>
      </c>
      <c r="G465" t="s">
        <v>145</v>
      </c>
      <c r="H465" s="9" t="s">
        <v>146</v>
      </c>
      <c r="I465" s="9" t="s">
        <v>147</v>
      </c>
      <c r="J465" t="s">
        <v>148</v>
      </c>
    </row>
    <row r="466" spans="1:10">
      <c r="A466">
        <v>2024</v>
      </c>
      <c r="B466" t="s">
        <v>65</v>
      </c>
      <c r="C466" s="3">
        <v>2173</v>
      </c>
      <c r="D466" t="s">
        <v>11</v>
      </c>
      <c r="E466" t="s">
        <v>144</v>
      </c>
      <c r="F466">
        <v>193</v>
      </c>
      <c r="G466" t="s">
        <v>145</v>
      </c>
      <c r="H466" s="9" t="s">
        <v>146</v>
      </c>
      <c r="I466" s="9" t="s">
        <v>147</v>
      </c>
      <c r="J466" t="s">
        <v>148</v>
      </c>
    </row>
    <row r="467" spans="1:10">
      <c r="A467">
        <v>2024</v>
      </c>
      <c r="B467" t="s">
        <v>18</v>
      </c>
      <c r="C467" s="3">
        <v>64093</v>
      </c>
      <c r="D467" t="s">
        <v>11</v>
      </c>
      <c r="E467" t="s">
        <v>149</v>
      </c>
      <c r="F467">
        <v>150</v>
      </c>
      <c r="G467" t="s">
        <v>150</v>
      </c>
      <c r="H467" s="9" t="s">
        <v>151</v>
      </c>
      <c r="I467" s="9" t="s">
        <v>152</v>
      </c>
      <c r="J467" t="s">
        <v>153</v>
      </c>
    </row>
    <row r="468" spans="1:10">
      <c r="A468">
        <v>2024</v>
      </c>
      <c r="B468" t="s">
        <v>19</v>
      </c>
      <c r="C468" s="3">
        <v>699</v>
      </c>
      <c r="D468" t="s">
        <v>11</v>
      </c>
      <c r="E468" t="s">
        <v>149</v>
      </c>
      <c r="F468">
        <v>150</v>
      </c>
      <c r="G468" t="s">
        <v>150</v>
      </c>
      <c r="H468" s="9" t="s">
        <v>151</v>
      </c>
      <c r="I468" s="9" t="s">
        <v>152</v>
      </c>
      <c r="J468" t="s">
        <v>153</v>
      </c>
    </row>
    <row r="469" spans="1:10">
      <c r="A469">
        <v>2024</v>
      </c>
      <c r="B469" t="s">
        <v>66</v>
      </c>
      <c r="C469" s="3">
        <v>49</v>
      </c>
      <c r="D469" t="s">
        <v>11</v>
      </c>
      <c r="E469" t="s">
        <v>144</v>
      </c>
      <c r="F469">
        <v>161</v>
      </c>
      <c r="G469" t="s">
        <v>145</v>
      </c>
      <c r="H469" s="9" t="s">
        <v>146</v>
      </c>
      <c r="I469" s="9" t="s">
        <v>147</v>
      </c>
      <c r="J469" t="s">
        <v>148</v>
      </c>
    </row>
    <row r="470" spans="1:10">
      <c r="A470">
        <v>2024</v>
      </c>
      <c r="B470" t="s">
        <v>67</v>
      </c>
      <c r="C470" s="3">
        <v>699</v>
      </c>
      <c r="D470" t="s">
        <v>11</v>
      </c>
      <c r="E470" t="s">
        <v>144</v>
      </c>
      <c r="F470">
        <v>161</v>
      </c>
      <c r="G470" t="s">
        <v>145</v>
      </c>
      <c r="H470" s="9" t="s">
        <v>146</v>
      </c>
      <c r="I470" s="9" t="s">
        <v>147</v>
      </c>
      <c r="J470" t="s">
        <v>148</v>
      </c>
    </row>
    <row r="471" spans="1:10">
      <c r="A471">
        <v>2024</v>
      </c>
      <c r="B471" t="s">
        <v>68</v>
      </c>
      <c r="C471" s="3">
        <v>4999</v>
      </c>
      <c r="D471" t="s">
        <v>11</v>
      </c>
      <c r="E471" t="s">
        <v>144</v>
      </c>
      <c r="F471">
        <v>161</v>
      </c>
      <c r="G471" t="s">
        <v>145</v>
      </c>
      <c r="H471" s="9" t="s">
        <v>146</v>
      </c>
      <c r="I471" s="9" t="s">
        <v>147</v>
      </c>
      <c r="J471" t="s">
        <v>148</v>
      </c>
    </row>
    <row r="472" spans="1:10">
      <c r="A472">
        <v>2024</v>
      </c>
      <c r="B472" t="s">
        <v>69</v>
      </c>
      <c r="C472" s="3">
        <v>650</v>
      </c>
      <c r="D472" t="s">
        <v>11</v>
      </c>
      <c r="E472" t="s">
        <v>144</v>
      </c>
      <c r="F472">
        <v>161</v>
      </c>
      <c r="G472" t="s">
        <v>145</v>
      </c>
      <c r="H472" s="9" t="s">
        <v>146</v>
      </c>
      <c r="I472" s="9" t="s">
        <v>147</v>
      </c>
      <c r="J472" t="s">
        <v>148</v>
      </c>
    </row>
    <row r="473" spans="1:10">
      <c r="A473">
        <v>2024</v>
      </c>
      <c r="B473" t="s">
        <v>70</v>
      </c>
      <c r="C473" s="3">
        <v>-14</v>
      </c>
      <c r="D473" t="s">
        <v>11</v>
      </c>
      <c r="E473" t="s">
        <v>144</v>
      </c>
      <c r="F473">
        <v>161</v>
      </c>
      <c r="G473" t="s">
        <v>145</v>
      </c>
      <c r="H473" s="9" t="s">
        <v>146</v>
      </c>
      <c r="I473" s="9" t="s">
        <v>147</v>
      </c>
      <c r="J473" t="s">
        <v>148</v>
      </c>
    </row>
    <row r="474" spans="1:10">
      <c r="A474">
        <v>2024</v>
      </c>
      <c r="B474" t="s">
        <v>71</v>
      </c>
      <c r="C474" s="3">
        <v>1310</v>
      </c>
      <c r="D474" t="s">
        <v>11</v>
      </c>
      <c r="E474" t="s">
        <v>144</v>
      </c>
      <c r="F474">
        <v>161</v>
      </c>
      <c r="G474" t="s">
        <v>145</v>
      </c>
      <c r="H474" s="9" t="s">
        <v>146</v>
      </c>
      <c r="I474" s="9" t="s">
        <v>147</v>
      </c>
      <c r="J474" t="s">
        <v>148</v>
      </c>
    </row>
    <row r="475" spans="1:10">
      <c r="A475">
        <v>2024</v>
      </c>
      <c r="B475" t="s">
        <v>72</v>
      </c>
      <c r="C475" s="3">
        <v>3137</v>
      </c>
      <c r="D475" t="s">
        <v>11</v>
      </c>
      <c r="E475" t="s">
        <v>144</v>
      </c>
      <c r="F475">
        <v>193</v>
      </c>
      <c r="G475" t="s">
        <v>145</v>
      </c>
      <c r="H475" s="9" t="s">
        <v>146</v>
      </c>
      <c r="I475" s="9" t="s">
        <v>147</v>
      </c>
      <c r="J475" t="s">
        <v>148</v>
      </c>
    </row>
    <row r="476" spans="1:10">
      <c r="A476">
        <v>2024</v>
      </c>
      <c r="B476" t="s">
        <v>20</v>
      </c>
      <c r="C476" s="3">
        <v>1202</v>
      </c>
      <c r="D476" t="s">
        <v>11</v>
      </c>
      <c r="E476" t="s">
        <v>149</v>
      </c>
      <c r="F476">
        <v>150</v>
      </c>
      <c r="G476" t="s">
        <v>150</v>
      </c>
      <c r="H476" s="9" t="s">
        <v>151</v>
      </c>
      <c r="I476" s="9" t="s">
        <v>152</v>
      </c>
      <c r="J476" t="s">
        <v>153</v>
      </c>
    </row>
    <row r="477" spans="1:10">
      <c r="A477">
        <v>2024</v>
      </c>
      <c r="B477" t="s">
        <v>78</v>
      </c>
      <c r="C477" s="3">
        <v>3194</v>
      </c>
      <c r="D477" t="s">
        <v>11</v>
      </c>
      <c r="E477" t="s">
        <v>144</v>
      </c>
      <c r="F477">
        <v>193</v>
      </c>
      <c r="G477" t="s">
        <v>145</v>
      </c>
      <c r="H477" s="9" t="s">
        <v>146</v>
      </c>
      <c r="I477" s="9" t="s">
        <v>147</v>
      </c>
      <c r="J477" t="s">
        <v>148</v>
      </c>
    </row>
    <row r="478" spans="1:10">
      <c r="A478">
        <v>2024</v>
      </c>
      <c r="B478" t="s">
        <v>79</v>
      </c>
      <c r="C478" s="3">
        <v>-1747</v>
      </c>
      <c r="D478" t="s">
        <v>11</v>
      </c>
      <c r="E478" t="s">
        <v>144</v>
      </c>
      <c r="F478">
        <v>161</v>
      </c>
      <c r="G478" t="s">
        <v>145</v>
      </c>
      <c r="H478" s="9" t="s">
        <v>146</v>
      </c>
      <c r="I478" s="9" t="s">
        <v>147</v>
      </c>
      <c r="J478" t="s">
        <v>148</v>
      </c>
    </row>
    <row r="479" spans="1:10">
      <c r="A479">
        <v>2024</v>
      </c>
      <c r="B479" t="s">
        <v>80</v>
      </c>
      <c r="C479" s="3">
        <v>-7264</v>
      </c>
      <c r="D479" t="s">
        <v>11</v>
      </c>
      <c r="E479" t="s">
        <v>144</v>
      </c>
      <c r="F479">
        <v>161</v>
      </c>
      <c r="G479" t="s">
        <v>145</v>
      </c>
      <c r="H479" s="9" t="s">
        <v>146</v>
      </c>
      <c r="I479" s="9" t="s">
        <v>147</v>
      </c>
      <c r="J479" t="s">
        <v>148</v>
      </c>
    </row>
    <row r="480" spans="1:10">
      <c r="A480">
        <v>2024</v>
      </c>
      <c r="B480" t="s">
        <v>81</v>
      </c>
      <c r="C480" s="3">
        <v>9074</v>
      </c>
      <c r="D480" t="s">
        <v>11</v>
      </c>
      <c r="E480" t="s">
        <v>144</v>
      </c>
      <c r="F480">
        <v>161</v>
      </c>
      <c r="G480" t="s">
        <v>145</v>
      </c>
      <c r="H480" s="9" t="s">
        <v>146</v>
      </c>
      <c r="I480" s="9" t="s">
        <v>147</v>
      </c>
      <c r="J480" t="s">
        <v>148</v>
      </c>
    </row>
    <row r="481" spans="1:10">
      <c r="A481">
        <v>2024</v>
      </c>
      <c r="B481" t="s">
        <v>82</v>
      </c>
      <c r="C481" s="3">
        <v>27059</v>
      </c>
      <c r="D481" t="s">
        <v>11</v>
      </c>
      <c r="E481" t="s">
        <v>144</v>
      </c>
      <c r="F481">
        <v>157</v>
      </c>
      <c r="G481" t="s">
        <v>145</v>
      </c>
      <c r="H481" s="9" t="s">
        <v>146</v>
      </c>
      <c r="I481" s="9" t="s">
        <v>147</v>
      </c>
      <c r="J481" t="s">
        <v>148</v>
      </c>
    </row>
    <row r="482" spans="1:10">
      <c r="A482">
        <v>2024</v>
      </c>
      <c r="B482" t="s">
        <v>83</v>
      </c>
      <c r="C482" s="3">
        <v>-4967</v>
      </c>
      <c r="D482" t="s">
        <v>11</v>
      </c>
      <c r="E482" t="s">
        <v>144</v>
      </c>
      <c r="F482">
        <v>160</v>
      </c>
      <c r="G482" t="s">
        <v>145</v>
      </c>
      <c r="H482" s="9" t="s">
        <v>146</v>
      </c>
      <c r="I482" s="9" t="s">
        <v>147</v>
      </c>
      <c r="J482" t="s">
        <v>148</v>
      </c>
    </row>
    <row r="483" spans="1:10">
      <c r="A483">
        <v>2024</v>
      </c>
      <c r="B483" t="s">
        <v>84</v>
      </c>
      <c r="C483" s="3">
        <v>27864</v>
      </c>
      <c r="D483" t="s">
        <v>11</v>
      </c>
      <c r="E483" t="s">
        <v>144</v>
      </c>
      <c r="F483">
        <v>160</v>
      </c>
      <c r="G483" t="s">
        <v>145</v>
      </c>
      <c r="H483" s="9" t="s">
        <v>146</v>
      </c>
      <c r="I483" s="9" t="s">
        <v>147</v>
      </c>
      <c r="J483" t="s">
        <v>148</v>
      </c>
    </row>
    <row r="484" spans="1:10">
      <c r="A484">
        <v>2024</v>
      </c>
      <c r="B484" t="s">
        <v>85</v>
      </c>
      <c r="C484" s="3">
        <v>226.6</v>
      </c>
      <c r="D484" t="s">
        <v>11</v>
      </c>
      <c r="E484" t="s">
        <v>144</v>
      </c>
      <c r="F484">
        <v>160</v>
      </c>
      <c r="G484" t="s">
        <v>145</v>
      </c>
      <c r="H484" s="9" t="s">
        <v>146</v>
      </c>
      <c r="I484" s="9" t="s">
        <v>147</v>
      </c>
      <c r="J484" t="s">
        <v>148</v>
      </c>
    </row>
    <row r="485" spans="1:10">
      <c r="A485">
        <v>2024</v>
      </c>
      <c r="B485" t="s">
        <v>21</v>
      </c>
      <c r="C485" s="3">
        <v>25452</v>
      </c>
      <c r="D485" t="s">
        <v>11</v>
      </c>
      <c r="E485" t="s">
        <v>144</v>
      </c>
      <c r="F485">
        <v>159</v>
      </c>
      <c r="G485" t="s">
        <v>145</v>
      </c>
      <c r="H485" s="9" t="s">
        <v>146</v>
      </c>
      <c r="I485" s="9" t="s">
        <v>147</v>
      </c>
      <c r="J485" t="s">
        <v>148</v>
      </c>
    </row>
    <row r="486" spans="1:10">
      <c r="A486">
        <v>2024</v>
      </c>
      <c r="B486" t="s">
        <v>22</v>
      </c>
      <c r="C486" s="3">
        <v>3189</v>
      </c>
      <c r="D486" t="s">
        <v>11</v>
      </c>
      <c r="E486" t="s">
        <v>144</v>
      </c>
      <c r="F486">
        <v>159</v>
      </c>
      <c r="G486" t="s">
        <v>145</v>
      </c>
      <c r="H486" s="9" t="s">
        <v>146</v>
      </c>
      <c r="I486" s="9" t="s">
        <v>147</v>
      </c>
      <c r="J486" t="s">
        <v>148</v>
      </c>
    </row>
    <row r="487" spans="1:10">
      <c r="A487">
        <v>2024</v>
      </c>
      <c r="B487" t="s">
        <v>23</v>
      </c>
      <c r="C487" s="3">
        <v>3171</v>
      </c>
      <c r="D487" t="s">
        <v>11</v>
      </c>
      <c r="E487" t="s">
        <v>144</v>
      </c>
      <c r="F487">
        <v>159</v>
      </c>
      <c r="G487" t="s">
        <v>145</v>
      </c>
      <c r="H487" s="9" t="s">
        <v>146</v>
      </c>
      <c r="I487" s="9" t="s">
        <v>147</v>
      </c>
      <c r="J487" t="s">
        <v>148</v>
      </c>
    </row>
    <row r="488" spans="1:10">
      <c r="A488">
        <v>2024</v>
      </c>
      <c r="B488" t="s">
        <v>86</v>
      </c>
      <c r="C488" s="3">
        <v>27508</v>
      </c>
      <c r="D488" t="s">
        <v>11</v>
      </c>
      <c r="E488" t="s">
        <v>144</v>
      </c>
      <c r="F488">
        <v>195</v>
      </c>
      <c r="G488" t="s">
        <v>145</v>
      </c>
      <c r="H488" s="9" t="s">
        <v>146</v>
      </c>
      <c r="I488" s="9" t="s">
        <v>147</v>
      </c>
      <c r="J488" t="s">
        <v>148</v>
      </c>
    </row>
    <row r="489" spans="1:10">
      <c r="A489">
        <v>2024</v>
      </c>
      <c r="B489" t="s">
        <v>24</v>
      </c>
      <c r="C489" s="3">
        <v>3494</v>
      </c>
      <c r="D489" t="s">
        <v>11</v>
      </c>
      <c r="E489" t="s">
        <v>149</v>
      </c>
      <c r="F489">
        <v>150</v>
      </c>
      <c r="G489" t="s">
        <v>150</v>
      </c>
      <c r="H489" s="9" t="s">
        <v>151</v>
      </c>
      <c r="I489" s="9" t="s">
        <v>152</v>
      </c>
      <c r="J489" t="s">
        <v>153</v>
      </c>
    </row>
    <row r="490" spans="1:10">
      <c r="A490">
        <v>2024</v>
      </c>
      <c r="B490" t="s">
        <v>87</v>
      </c>
      <c r="C490" s="3">
        <v>6973</v>
      </c>
      <c r="D490" t="s">
        <v>11</v>
      </c>
      <c r="E490" t="s">
        <v>144</v>
      </c>
      <c r="F490">
        <v>157</v>
      </c>
      <c r="G490" t="s">
        <v>145</v>
      </c>
      <c r="H490" s="9" t="s">
        <v>146</v>
      </c>
      <c r="I490" s="9" t="s">
        <v>147</v>
      </c>
      <c r="J490" t="s">
        <v>148</v>
      </c>
    </row>
    <row r="491" spans="1:10">
      <c r="A491">
        <v>2024</v>
      </c>
      <c r="B491" t="s">
        <v>88</v>
      </c>
      <c r="C491" s="3">
        <v>7173</v>
      </c>
      <c r="D491" t="s">
        <v>11</v>
      </c>
      <c r="E491" t="s">
        <v>144</v>
      </c>
      <c r="F491">
        <v>161</v>
      </c>
      <c r="G491" t="s">
        <v>145</v>
      </c>
      <c r="H491" s="9" t="s">
        <v>146</v>
      </c>
      <c r="I491" s="9" t="s">
        <v>147</v>
      </c>
      <c r="J491" t="s">
        <v>148</v>
      </c>
    </row>
    <row r="492" spans="1:10">
      <c r="A492">
        <v>2024</v>
      </c>
      <c r="B492" t="s">
        <v>25</v>
      </c>
      <c r="C492" s="3">
        <v>8033</v>
      </c>
      <c r="D492" t="s">
        <v>11</v>
      </c>
      <c r="E492" t="s">
        <v>149</v>
      </c>
      <c r="F492">
        <v>150</v>
      </c>
      <c r="G492" t="s">
        <v>150</v>
      </c>
      <c r="H492" s="9" t="s">
        <v>151</v>
      </c>
      <c r="I492" s="9" t="s">
        <v>152</v>
      </c>
      <c r="J492" t="s">
        <v>153</v>
      </c>
    </row>
    <row r="493" spans="1:10">
      <c r="A493">
        <v>2024</v>
      </c>
      <c r="B493" t="s">
        <v>89</v>
      </c>
      <c r="C493" s="3">
        <v>0</v>
      </c>
      <c r="D493" t="s">
        <v>11</v>
      </c>
      <c r="E493" t="s">
        <v>144</v>
      </c>
      <c r="F493">
        <v>161</v>
      </c>
      <c r="G493" t="s">
        <v>145</v>
      </c>
      <c r="H493" s="9" t="s">
        <v>146</v>
      </c>
      <c r="I493" s="9" t="s">
        <v>147</v>
      </c>
      <c r="J493" t="s">
        <v>148</v>
      </c>
    </row>
    <row r="494" spans="1:10">
      <c r="A494">
        <v>2024</v>
      </c>
      <c r="B494" t="s">
        <v>90</v>
      </c>
      <c r="C494" s="3">
        <v>0</v>
      </c>
      <c r="D494" t="s">
        <v>11</v>
      </c>
      <c r="E494" t="s">
        <v>144</v>
      </c>
      <c r="F494">
        <v>161</v>
      </c>
      <c r="G494" t="s">
        <v>145</v>
      </c>
      <c r="H494" s="9" t="s">
        <v>146</v>
      </c>
      <c r="I494" s="9" t="s">
        <v>147</v>
      </c>
      <c r="J494" t="s">
        <v>148</v>
      </c>
    </row>
    <row r="495" spans="1:10">
      <c r="A495">
        <v>2024</v>
      </c>
      <c r="B495" t="s">
        <v>143</v>
      </c>
      <c r="C495" s="3">
        <v>1762</v>
      </c>
      <c r="D495" t="s">
        <v>11</v>
      </c>
      <c r="E495" t="s">
        <v>144</v>
      </c>
      <c r="F495">
        <v>159</v>
      </c>
      <c r="G495" t="s">
        <v>145</v>
      </c>
      <c r="H495" s="9" t="s">
        <v>146</v>
      </c>
      <c r="I495" s="9" t="s">
        <v>147</v>
      </c>
      <c r="J495" t="s">
        <v>148</v>
      </c>
    </row>
    <row r="496" spans="1:10">
      <c r="A496">
        <v>2024</v>
      </c>
      <c r="B496" t="s">
        <v>91</v>
      </c>
      <c r="C496" s="3">
        <v>42983</v>
      </c>
      <c r="D496" t="s">
        <v>11</v>
      </c>
      <c r="E496" t="s">
        <v>144</v>
      </c>
      <c r="F496">
        <v>193</v>
      </c>
      <c r="G496" t="s">
        <v>145</v>
      </c>
      <c r="H496" s="9" t="s">
        <v>146</v>
      </c>
      <c r="I496" s="9" t="s">
        <v>147</v>
      </c>
      <c r="J496" t="s">
        <v>148</v>
      </c>
    </row>
    <row r="497" spans="1:10">
      <c r="A497">
        <v>2024</v>
      </c>
      <c r="B497" t="s">
        <v>92</v>
      </c>
      <c r="C497" s="3">
        <v>44377</v>
      </c>
      <c r="D497" t="s">
        <v>11</v>
      </c>
      <c r="E497" t="s">
        <v>144</v>
      </c>
      <c r="F497">
        <v>193</v>
      </c>
      <c r="G497" t="s">
        <v>145</v>
      </c>
      <c r="H497" s="9" t="s">
        <v>146</v>
      </c>
      <c r="I497" s="9" t="s">
        <v>147</v>
      </c>
      <c r="J497" t="s">
        <v>148</v>
      </c>
    </row>
    <row r="498" spans="1:10">
      <c r="A498">
        <v>2024</v>
      </c>
      <c r="B498" t="s">
        <v>93</v>
      </c>
      <c r="C498" s="3">
        <v>951</v>
      </c>
      <c r="D498" t="s">
        <v>11</v>
      </c>
      <c r="E498" t="s">
        <v>144</v>
      </c>
      <c r="F498">
        <v>161</v>
      </c>
      <c r="G498" t="s">
        <v>145</v>
      </c>
      <c r="H498" s="9" t="s">
        <v>146</v>
      </c>
      <c r="I498" s="9" t="s">
        <v>147</v>
      </c>
      <c r="J498" t="s">
        <v>148</v>
      </c>
    </row>
    <row r="499" spans="1:10">
      <c r="A499">
        <v>2024</v>
      </c>
      <c r="B499" t="s">
        <v>94</v>
      </c>
      <c r="C499" s="3">
        <v>321</v>
      </c>
      <c r="D499" t="s">
        <v>11</v>
      </c>
      <c r="E499" t="s">
        <v>144</v>
      </c>
      <c r="F499">
        <v>161</v>
      </c>
      <c r="G499" t="s">
        <v>145</v>
      </c>
      <c r="H499" s="9" t="s">
        <v>146</v>
      </c>
      <c r="I499" s="9" t="s">
        <v>147</v>
      </c>
      <c r="J499" t="s">
        <v>148</v>
      </c>
    </row>
    <row r="500" spans="1:10">
      <c r="A500">
        <v>2024</v>
      </c>
      <c r="B500" t="s">
        <v>95</v>
      </c>
      <c r="C500" s="3">
        <v>114</v>
      </c>
      <c r="D500" t="s">
        <v>11</v>
      </c>
      <c r="E500" t="s">
        <v>144</v>
      </c>
      <c r="F500">
        <v>161</v>
      </c>
      <c r="G500" t="s">
        <v>145</v>
      </c>
      <c r="H500" s="9" t="s">
        <v>146</v>
      </c>
      <c r="I500" s="9" t="s">
        <v>147</v>
      </c>
      <c r="J500" t="s">
        <v>148</v>
      </c>
    </row>
    <row r="501" spans="1:10">
      <c r="A501">
        <v>2024</v>
      </c>
      <c r="B501" t="s">
        <v>96</v>
      </c>
      <c r="C501" s="3">
        <v>286</v>
      </c>
      <c r="D501" t="s">
        <v>11</v>
      </c>
      <c r="E501" t="s">
        <v>144</v>
      </c>
      <c r="F501">
        <v>160</v>
      </c>
      <c r="G501" t="s">
        <v>145</v>
      </c>
      <c r="H501" s="9" t="s">
        <v>146</v>
      </c>
      <c r="I501" s="9" t="s">
        <v>147</v>
      </c>
      <c r="J501" t="s">
        <v>148</v>
      </c>
    </row>
    <row r="502" spans="1:10">
      <c r="A502">
        <v>2024</v>
      </c>
      <c r="B502" t="s">
        <v>27</v>
      </c>
      <c r="C502" s="3">
        <v>27864</v>
      </c>
      <c r="D502" t="s">
        <v>11</v>
      </c>
      <c r="E502" t="s">
        <v>149</v>
      </c>
      <c r="F502">
        <v>150</v>
      </c>
      <c r="G502" t="s">
        <v>150</v>
      </c>
      <c r="H502" s="9" t="s">
        <v>151</v>
      </c>
      <c r="I502" s="9" t="s">
        <v>152</v>
      </c>
      <c r="J502" t="s">
        <v>153</v>
      </c>
    </row>
    <row r="503" spans="1:10">
      <c r="A503">
        <v>2024</v>
      </c>
      <c r="B503" t="s">
        <v>97</v>
      </c>
      <c r="C503" s="3">
        <v>1000</v>
      </c>
      <c r="D503" t="s">
        <v>11</v>
      </c>
      <c r="E503" t="s">
        <v>144</v>
      </c>
      <c r="F503">
        <v>160</v>
      </c>
      <c r="G503" t="s">
        <v>145</v>
      </c>
      <c r="H503" s="9" t="s">
        <v>146</v>
      </c>
      <c r="I503" s="9" t="s">
        <v>147</v>
      </c>
      <c r="J503" t="s">
        <v>148</v>
      </c>
    </row>
    <row r="504" spans="1:10">
      <c r="A504">
        <v>2024</v>
      </c>
      <c r="B504" t="s">
        <v>98</v>
      </c>
      <c r="C504" s="3">
        <v>962</v>
      </c>
      <c r="D504" t="s">
        <v>11</v>
      </c>
      <c r="E504" t="s">
        <v>144</v>
      </c>
      <c r="F504">
        <v>160</v>
      </c>
      <c r="G504" t="s">
        <v>145</v>
      </c>
      <c r="H504" s="9" t="s">
        <v>146</v>
      </c>
      <c r="I504" s="9" t="s">
        <v>147</v>
      </c>
      <c r="J504" t="s">
        <v>148</v>
      </c>
    </row>
    <row r="505" spans="1:10">
      <c r="A505">
        <v>2024</v>
      </c>
      <c r="B505" t="s">
        <v>99</v>
      </c>
      <c r="C505" s="3">
        <v>146</v>
      </c>
      <c r="D505" t="s">
        <v>11</v>
      </c>
      <c r="E505" t="s">
        <v>144</v>
      </c>
      <c r="F505">
        <v>160</v>
      </c>
      <c r="G505" t="s">
        <v>145</v>
      </c>
      <c r="H505" s="9" t="s">
        <v>146</v>
      </c>
      <c r="I505" s="9" t="s">
        <v>147</v>
      </c>
      <c r="J505" t="s">
        <v>148</v>
      </c>
    </row>
    <row r="506" spans="1:10">
      <c r="A506">
        <v>2024</v>
      </c>
      <c r="B506" t="s">
        <v>28</v>
      </c>
      <c r="C506" s="3">
        <v>687</v>
      </c>
      <c r="D506" t="s">
        <v>11</v>
      </c>
      <c r="E506" t="s">
        <v>149</v>
      </c>
      <c r="F506">
        <v>150</v>
      </c>
      <c r="G506" t="s">
        <v>150</v>
      </c>
      <c r="H506" s="9" t="s">
        <v>151</v>
      </c>
      <c r="I506" s="9" t="s">
        <v>152</v>
      </c>
      <c r="J506" t="s">
        <v>153</v>
      </c>
    </row>
    <row r="507" spans="1:10">
      <c r="A507">
        <v>2024</v>
      </c>
      <c r="B507" t="s">
        <v>100</v>
      </c>
      <c r="C507" s="3">
        <v>124</v>
      </c>
      <c r="D507" t="s">
        <v>11</v>
      </c>
      <c r="E507" t="s">
        <v>144</v>
      </c>
      <c r="F507">
        <v>161</v>
      </c>
      <c r="G507" t="s">
        <v>145</v>
      </c>
      <c r="H507" s="9" t="s">
        <v>146</v>
      </c>
      <c r="I507" s="9" t="s">
        <v>147</v>
      </c>
      <c r="J507" t="s">
        <v>148</v>
      </c>
    </row>
    <row r="508" spans="1:10">
      <c r="A508">
        <v>2024</v>
      </c>
      <c r="B508" t="s">
        <v>101</v>
      </c>
      <c r="C508" s="3">
        <v>143</v>
      </c>
      <c r="D508" t="s">
        <v>11</v>
      </c>
      <c r="E508" t="s">
        <v>144</v>
      </c>
      <c r="F508">
        <v>161</v>
      </c>
      <c r="G508" t="s">
        <v>145</v>
      </c>
      <c r="H508" s="9" t="s">
        <v>146</v>
      </c>
      <c r="I508" s="9" t="s">
        <v>147</v>
      </c>
      <c r="J508" t="s">
        <v>148</v>
      </c>
    </row>
    <row r="509" spans="1:10">
      <c r="A509">
        <v>2024</v>
      </c>
      <c r="B509" t="s">
        <v>102</v>
      </c>
      <c r="C509" s="3">
        <v>473</v>
      </c>
      <c r="D509" t="s">
        <v>11</v>
      </c>
      <c r="E509" t="s">
        <v>144</v>
      </c>
      <c r="F509">
        <v>157</v>
      </c>
      <c r="G509" t="s">
        <v>145</v>
      </c>
      <c r="H509" s="9" t="s">
        <v>146</v>
      </c>
      <c r="I509" s="9" t="s">
        <v>147</v>
      </c>
      <c r="J509" t="s">
        <v>148</v>
      </c>
    </row>
    <row r="510" spans="1:10">
      <c r="A510">
        <v>2024</v>
      </c>
      <c r="B510" t="s">
        <v>29</v>
      </c>
      <c r="C510" s="3">
        <v>88277</v>
      </c>
      <c r="D510" t="s">
        <v>11</v>
      </c>
      <c r="E510" t="s">
        <v>149</v>
      </c>
      <c r="F510">
        <v>150</v>
      </c>
      <c r="G510" t="s">
        <v>150</v>
      </c>
      <c r="H510" s="9" t="s">
        <v>151</v>
      </c>
      <c r="I510" s="9" t="s">
        <v>152</v>
      </c>
      <c r="J510" t="s">
        <v>153</v>
      </c>
    </row>
    <row r="511" spans="1:10">
      <c r="A511">
        <v>2024</v>
      </c>
      <c r="B511" t="s">
        <v>30</v>
      </c>
      <c r="C511" s="3">
        <v>83666</v>
      </c>
      <c r="D511" t="s">
        <v>11</v>
      </c>
      <c r="E511" t="s">
        <v>149</v>
      </c>
      <c r="F511">
        <v>150</v>
      </c>
      <c r="G511" t="s">
        <v>150</v>
      </c>
      <c r="H511" s="9" t="s">
        <v>151</v>
      </c>
      <c r="I511" s="9" t="s">
        <v>152</v>
      </c>
      <c r="J511" t="s">
        <v>153</v>
      </c>
    </row>
    <row r="512" spans="1:10">
      <c r="A512">
        <v>2024</v>
      </c>
      <c r="B512" t="s">
        <v>103</v>
      </c>
      <c r="C512" s="3">
        <v>8537</v>
      </c>
      <c r="D512" t="s">
        <v>11</v>
      </c>
      <c r="E512" t="s">
        <v>144</v>
      </c>
      <c r="F512">
        <v>161</v>
      </c>
      <c r="G512" t="s">
        <v>145</v>
      </c>
      <c r="H512" s="9" t="s">
        <v>146</v>
      </c>
      <c r="I512" s="9" t="s">
        <v>147</v>
      </c>
      <c r="J512" t="s">
        <v>148</v>
      </c>
    </row>
    <row r="513" spans="1:10">
      <c r="A513">
        <v>2024</v>
      </c>
      <c r="B513" t="s">
        <v>104</v>
      </c>
      <c r="C513" s="3">
        <v>17132</v>
      </c>
      <c r="D513" t="s">
        <v>11</v>
      </c>
      <c r="E513" t="s">
        <v>144</v>
      </c>
      <c r="F513">
        <v>161</v>
      </c>
      <c r="G513" t="s">
        <v>145</v>
      </c>
      <c r="H513" s="9" t="s">
        <v>146</v>
      </c>
      <c r="I513" s="9" t="s">
        <v>147</v>
      </c>
      <c r="J513" t="s">
        <v>148</v>
      </c>
    </row>
    <row r="514" spans="1:10">
      <c r="A514">
        <v>2024</v>
      </c>
      <c r="B514" t="s">
        <v>105</v>
      </c>
      <c r="C514" s="3">
        <v>1634</v>
      </c>
      <c r="D514" t="s">
        <v>11</v>
      </c>
      <c r="E514" t="s">
        <v>144</v>
      </c>
      <c r="F514">
        <v>161</v>
      </c>
      <c r="G514" t="s">
        <v>145</v>
      </c>
      <c r="H514" s="9" t="s">
        <v>146</v>
      </c>
      <c r="I514" s="9" t="s">
        <v>147</v>
      </c>
      <c r="J514" t="s">
        <v>148</v>
      </c>
    </row>
    <row r="515" spans="1:10">
      <c r="A515">
        <v>2024</v>
      </c>
      <c r="B515" t="s">
        <v>106</v>
      </c>
      <c r="C515" s="3">
        <v>5819</v>
      </c>
      <c r="D515" t="s">
        <v>11</v>
      </c>
      <c r="E515" t="s">
        <v>144</v>
      </c>
      <c r="F515">
        <v>157</v>
      </c>
      <c r="G515" t="s">
        <v>145</v>
      </c>
      <c r="H515" s="9" t="s">
        <v>146</v>
      </c>
      <c r="I515" s="9" t="s">
        <v>147</v>
      </c>
      <c r="J515" t="s">
        <v>148</v>
      </c>
    </row>
    <row r="516" spans="1:10">
      <c r="A516">
        <v>2024</v>
      </c>
      <c r="B516" t="s">
        <v>31</v>
      </c>
      <c r="C516" s="3">
        <v>4233</v>
      </c>
      <c r="D516" t="s">
        <v>11</v>
      </c>
      <c r="E516" t="s">
        <v>144</v>
      </c>
      <c r="F516">
        <v>159</v>
      </c>
      <c r="G516" t="s">
        <v>145</v>
      </c>
      <c r="H516" s="9" t="s">
        <v>146</v>
      </c>
      <c r="I516" s="9" t="s">
        <v>147</v>
      </c>
      <c r="J516" t="s">
        <v>148</v>
      </c>
    </row>
    <row r="517" spans="1:10">
      <c r="A517">
        <v>2024</v>
      </c>
      <c r="B517" t="s">
        <v>107</v>
      </c>
      <c r="C517" s="3">
        <v>45078</v>
      </c>
      <c r="D517" t="s">
        <v>37</v>
      </c>
      <c r="E517" t="s">
        <v>144</v>
      </c>
      <c r="F517">
        <v>193</v>
      </c>
      <c r="G517" t="s">
        <v>145</v>
      </c>
      <c r="H517" s="9" t="s">
        <v>146</v>
      </c>
      <c r="I517" s="9" t="s">
        <v>147</v>
      </c>
      <c r="J517" t="s">
        <v>148</v>
      </c>
    </row>
    <row r="518" spans="1:10">
      <c r="A518">
        <v>2024</v>
      </c>
      <c r="B518" t="s">
        <v>32</v>
      </c>
      <c r="C518" s="3">
        <v>64088</v>
      </c>
      <c r="D518" t="s">
        <v>11</v>
      </c>
      <c r="E518" t="s">
        <v>144</v>
      </c>
      <c r="F518">
        <v>195</v>
      </c>
      <c r="G518" t="s">
        <v>145</v>
      </c>
      <c r="H518" s="9" t="s">
        <v>146</v>
      </c>
      <c r="I518" s="9" t="s">
        <v>147</v>
      </c>
      <c r="J518" t="s">
        <v>148</v>
      </c>
    </row>
    <row r="519" spans="1:10">
      <c r="A519">
        <v>2024</v>
      </c>
      <c r="B519" t="s">
        <v>33</v>
      </c>
      <c r="C519" s="3">
        <v>22289</v>
      </c>
      <c r="D519" t="s">
        <v>11</v>
      </c>
      <c r="E519" t="s">
        <v>149</v>
      </c>
      <c r="F519">
        <v>150</v>
      </c>
      <c r="G519" t="s">
        <v>150</v>
      </c>
      <c r="H519" s="9" t="s">
        <v>151</v>
      </c>
      <c r="I519" s="9" t="s">
        <v>152</v>
      </c>
      <c r="J519" t="s">
        <v>153</v>
      </c>
    </row>
    <row r="520" spans="1:10">
      <c r="A520">
        <v>2024</v>
      </c>
      <c r="B520" t="s">
        <v>108</v>
      </c>
      <c r="C520" s="3">
        <v>46550</v>
      </c>
      <c r="D520" t="s">
        <v>37</v>
      </c>
      <c r="E520" t="s">
        <v>144</v>
      </c>
      <c r="F520">
        <v>193</v>
      </c>
      <c r="G520" t="s">
        <v>145</v>
      </c>
      <c r="H520" s="9" t="s">
        <v>146</v>
      </c>
      <c r="I520" s="9" t="s">
        <v>147</v>
      </c>
      <c r="J520" t="s">
        <v>148</v>
      </c>
    </row>
    <row r="521" spans="1:10">
      <c r="A521">
        <v>2024</v>
      </c>
      <c r="B521" t="s">
        <v>34</v>
      </c>
      <c r="C521" s="3">
        <v>360</v>
      </c>
      <c r="D521" t="s">
        <v>11</v>
      </c>
      <c r="E521" t="s">
        <v>144</v>
      </c>
      <c r="F521">
        <v>159</v>
      </c>
      <c r="G521" t="s">
        <v>145</v>
      </c>
      <c r="H521" s="9" t="s">
        <v>146</v>
      </c>
      <c r="I521" s="9" t="s">
        <v>147</v>
      </c>
      <c r="J521" t="s">
        <v>148</v>
      </c>
    </row>
    <row r="522" spans="1:10">
      <c r="A522">
        <v>2024</v>
      </c>
      <c r="B522" t="s">
        <v>109</v>
      </c>
      <c r="C522" s="3">
        <v>392</v>
      </c>
      <c r="D522" t="s">
        <v>11</v>
      </c>
      <c r="E522" t="s">
        <v>144</v>
      </c>
      <c r="F522">
        <v>157</v>
      </c>
      <c r="G522" t="s">
        <v>145</v>
      </c>
      <c r="H522" s="9" t="s">
        <v>146</v>
      </c>
      <c r="I522" s="9" t="s">
        <v>147</v>
      </c>
      <c r="J522" t="s">
        <v>148</v>
      </c>
    </row>
    <row r="523" spans="1:10">
      <c r="A523">
        <v>2024</v>
      </c>
      <c r="B523" t="s">
        <v>110</v>
      </c>
      <c r="C523" s="3">
        <v>3590</v>
      </c>
      <c r="D523" t="s">
        <v>11</v>
      </c>
      <c r="E523" t="s">
        <v>144</v>
      </c>
      <c r="F523">
        <v>157</v>
      </c>
      <c r="G523" t="s">
        <v>145</v>
      </c>
      <c r="H523" s="9" t="s">
        <v>146</v>
      </c>
      <c r="I523" s="9" t="s">
        <v>147</v>
      </c>
      <c r="J523" t="s">
        <v>148</v>
      </c>
    </row>
    <row r="524" spans="1:10">
      <c r="A524">
        <v>2024</v>
      </c>
      <c r="B524" t="s">
        <v>111</v>
      </c>
      <c r="C524" s="3">
        <v>41941</v>
      </c>
      <c r="D524" t="s">
        <v>11</v>
      </c>
      <c r="E524" t="s">
        <v>144</v>
      </c>
      <c r="F524">
        <v>193</v>
      </c>
      <c r="G524" t="s">
        <v>145</v>
      </c>
      <c r="H524" s="9" t="s">
        <v>146</v>
      </c>
      <c r="I524" s="9" t="s">
        <v>147</v>
      </c>
      <c r="J524" t="s">
        <v>148</v>
      </c>
    </row>
    <row r="525" spans="1:10">
      <c r="A525">
        <v>2024</v>
      </c>
      <c r="B525" t="s">
        <v>112</v>
      </c>
      <c r="C525" s="3">
        <v>4999</v>
      </c>
      <c r="D525" t="s">
        <v>11</v>
      </c>
      <c r="E525" t="s">
        <v>144</v>
      </c>
      <c r="F525">
        <v>157</v>
      </c>
      <c r="G525" t="s">
        <v>145</v>
      </c>
      <c r="H525" s="9" t="s">
        <v>146</v>
      </c>
      <c r="I525" s="9" t="s">
        <v>147</v>
      </c>
      <c r="J525" t="s">
        <v>148</v>
      </c>
    </row>
    <row r="526" spans="1:10">
      <c r="A526">
        <v>2024</v>
      </c>
      <c r="B526" t="s">
        <v>35</v>
      </c>
      <c r="C526" s="3">
        <v>56419</v>
      </c>
      <c r="D526" t="s">
        <v>11</v>
      </c>
      <c r="E526" t="s">
        <v>144</v>
      </c>
      <c r="F526">
        <v>195</v>
      </c>
      <c r="G526" t="s">
        <v>145</v>
      </c>
      <c r="H526" s="9" t="s">
        <v>146</v>
      </c>
      <c r="I526" s="9" t="s">
        <v>147</v>
      </c>
      <c r="J526" t="s">
        <v>148</v>
      </c>
    </row>
    <row r="527" spans="1:10">
      <c r="A527">
        <v>2024</v>
      </c>
      <c r="B527" t="s">
        <v>36</v>
      </c>
      <c r="C527" s="3">
        <v>21087</v>
      </c>
      <c r="D527" t="s">
        <v>37</v>
      </c>
      <c r="E527" t="s">
        <v>149</v>
      </c>
      <c r="F527">
        <v>150</v>
      </c>
      <c r="G527" t="s">
        <v>150</v>
      </c>
      <c r="H527" s="9" t="s">
        <v>151</v>
      </c>
      <c r="I527" s="9" t="s">
        <v>152</v>
      </c>
      <c r="J527" t="s">
        <v>153</v>
      </c>
    </row>
    <row r="528" spans="1:10">
      <c r="A528">
        <v>2024</v>
      </c>
      <c r="B528" t="s">
        <v>113</v>
      </c>
      <c r="C528" s="3">
        <v>43356</v>
      </c>
      <c r="D528" t="s">
        <v>11</v>
      </c>
      <c r="E528" t="s">
        <v>144</v>
      </c>
      <c r="F528">
        <v>193</v>
      </c>
      <c r="G528" t="s">
        <v>145</v>
      </c>
      <c r="H528" s="9" t="s">
        <v>146</v>
      </c>
      <c r="I528" s="9" t="s">
        <v>147</v>
      </c>
      <c r="J528" t="s">
        <v>148</v>
      </c>
    </row>
    <row r="529" spans="1:10">
      <c r="A529">
        <v>2024</v>
      </c>
      <c r="B529" t="s">
        <v>114</v>
      </c>
      <c r="C529" s="3">
        <v>24921</v>
      </c>
      <c r="D529" t="s">
        <v>37</v>
      </c>
      <c r="E529" t="s">
        <v>144</v>
      </c>
      <c r="F529">
        <v>160</v>
      </c>
      <c r="G529" t="s">
        <v>145</v>
      </c>
      <c r="H529" s="9" t="s">
        <v>146</v>
      </c>
      <c r="I529" s="9" t="s">
        <v>147</v>
      </c>
      <c r="J529" t="s">
        <v>148</v>
      </c>
    </row>
    <row r="530" spans="1:10">
      <c r="A530">
        <v>2024</v>
      </c>
      <c r="B530" t="s">
        <v>38</v>
      </c>
      <c r="C530" s="3">
        <v>4183</v>
      </c>
      <c r="D530" t="s">
        <v>11</v>
      </c>
      <c r="E530" t="s">
        <v>144</v>
      </c>
      <c r="F530">
        <v>159</v>
      </c>
      <c r="G530" t="s">
        <v>145</v>
      </c>
      <c r="H530" s="9" t="s">
        <v>146</v>
      </c>
      <c r="I530" s="9" t="s">
        <v>147</v>
      </c>
      <c r="J530" t="s">
        <v>148</v>
      </c>
    </row>
    <row r="531" spans="1:10">
      <c r="A531">
        <v>2024</v>
      </c>
      <c r="B531" t="s">
        <v>115</v>
      </c>
      <c r="C531" s="3">
        <v>396</v>
      </c>
      <c r="D531" t="s">
        <v>11</v>
      </c>
      <c r="E531" t="s">
        <v>144</v>
      </c>
      <c r="F531">
        <v>161</v>
      </c>
      <c r="G531" t="s">
        <v>145</v>
      </c>
      <c r="H531" s="9" t="s">
        <v>146</v>
      </c>
      <c r="I531" s="9" t="s">
        <v>147</v>
      </c>
      <c r="J531" t="s">
        <v>148</v>
      </c>
    </row>
    <row r="532" spans="1:10">
      <c r="A532">
        <v>2024</v>
      </c>
      <c r="B532" t="s">
        <v>116</v>
      </c>
      <c r="C532" s="3">
        <v>422</v>
      </c>
      <c r="D532" t="s">
        <v>11</v>
      </c>
      <c r="E532" t="s">
        <v>144</v>
      </c>
      <c r="F532">
        <v>161</v>
      </c>
      <c r="G532" t="s">
        <v>145</v>
      </c>
      <c r="H532" s="9" t="s">
        <v>146</v>
      </c>
      <c r="I532" s="9" t="s">
        <v>147</v>
      </c>
      <c r="J532" t="s">
        <v>148</v>
      </c>
    </row>
    <row r="533" spans="1:10">
      <c r="A533">
        <v>2024</v>
      </c>
      <c r="B533" t="s">
        <v>39</v>
      </c>
      <c r="C533" s="3">
        <v>4202</v>
      </c>
      <c r="D533" t="s">
        <v>11</v>
      </c>
      <c r="E533" t="s">
        <v>149</v>
      </c>
      <c r="F533">
        <v>150</v>
      </c>
      <c r="G533" t="s">
        <v>150</v>
      </c>
      <c r="H533" s="9" t="s">
        <v>151</v>
      </c>
      <c r="I533" s="9" t="s">
        <v>152</v>
      </c>
      <c r="J533" t="s">
        <v>153</v>
      </c>
    </row>
    <row r="534" spans="1:10">
      <c r="A534">
        <v>2024</v>
      </c>
      <c r="B534" t="s">
        <v>40</v>
      </c>
      <c r="C534" s="3">
        <v>7171</v>
      </c>
      <c r="D534" t="s">
        <v>11</v>
      </c>
      <c r="E534" t="s">
        <v>144</v>
      </c>
      <c r="F534">
        <v>159</v>
      </c>
      <c r="G534" t="s">
        <v>145</v>
      </c>
      <c r="H534" s="9" t="s">
        <v>146</v>
      </c>
      <c r="I534" s="9" t="s">
        <v>147</v>
      </c>
      <c r="J534" t="s">
        <v>148</v>
      </c>
    </row>
    <row r="535" spans="1:10">
      <c r="A535">
        <v>2024</v>
      </c>
      <c r="B535" t="s">
        <v>117</v>
      </c>
      <c r="C535" s="3">
        <v>449</v>
      </c>
      <c r="D535" t="s">
        <v>11</v>
      </c>
      <c r="E535" t="s">
        <v>144</v>
      </c>
      <c r="F535">
        <v>157</v>
      </c>
      <c r="G535" t="s">
        <v>145</v>
      </c>
      <c r="H535" s="9" t="s">
        <v>146</v>
      </c>
      <c r="I535" s="9" t="s">
        <v>147</v>
      </c>
      <c r="J535" t="s">
        <v>148</v>
      </c>
    </row>
    <row r="536" spans="1:10">
      <c r="A536">
        <v>2024</v>
      </c>
      <c r="B536" t="s">
        <v>118</v>
      </c>
      <c r="C536" s="3">
        <v>10924</v>
      </c>
      <c r="D536" t="s">
        <v>11</v>
      </c>
      <c r="E536" t="s">
        <v>144</v>
      </c>
      <c r="F536">
        <v>195</v>
      </c>
      <c r="G536" t="s">
        <v>145</v>
      </c>
      <c r="H536" s="9" t="s">
        <v>146</v>
      </c>
      <c r="I536" s="9" t="s">
        <v>147</v>
      </c>
      <c r="J536" t="s">
        <v>148</v>
      </c>
    </row>
    <row r="537" spans="1:10">
      <c r="A537">
        <v>2024</v>
      </c>
      <c r="B537" t="s">
        <v>119</v>
      </c>
      <c r="C537" s="3">
        <v>13227</v>
      </c>
      <c r="D537" t="s">
        <v>11</v>
      </c>
      <c r="E537" t="s">
        <v>144</v>
      </c>
      <c r="F537">
        <v>195</v>
      </c>
      <c r="G537" t="s">
        <v>145</v>
      </c>
      <c r="H537" s="9" t="s">
        <v>146</v>
      </c>
      <c r="I537" s="9" t="s">
        <v>147</v>
      </c>
      <c r="J537" t="s">
        <v>148</v>
      </c>
    </row>
    <row r="538" spans="1:10">
      <c r="A538">
        <v>2024</v>
      </c>
      <c r="B538" t="s">
        <v>41</v>
      </c>
      <c r="C538" s="3">
        <v>11110</v>
      </c>
      <c r="D538" t="s">
        <v>11</v>
      </c>
      <c r="E538" t="s">
        <v>149</v>
      </c>
      <c r="F538">
        <v>150</v>
      </c>
      <c r="G538" t="s">
        <v>150</v>
      </c>
      <c r="H538" s="9" t="s">
        <v>151</v>
      </c>
      <c r="I538" s="9" t="s">
        <v>152</v>
      </c>
      <c r="J538" t="s">
        <v>153</v>
      </c>
    </row>
    <row r="539" spans="1:10">
      <c r="A539">
        <v>2024</v>
      </c>
      <c r="B539" t="s">
        <v>120</v>
      </c>
      <c r="C539" s="3">
        <v>6180</v>
      </c>
      <c r="D539" t="s">
        <v>11</v>
      </c>
      <c r="E539" t="s">
        <v>144</v>
      </c>
      <c r="F539">
        <v>157</v>
      </c>
      <c r="G539" t="s">
        <v>145</v>
      </c>
      <c r="H539" s="9" t="s">
        <v>146</v>
      </c>
      <c r="I539" s="9" t="s">
        <v>147</v>
      </c>
      <c r="J539" t="s">
        <v>148</v>
      </c>
    </row>
    <row r="540" spans="1:10">
      <c r="A540">
        <v>2024</v>
      </c>
      <c r="B540" t="s">
        <v>42</v>
      </c>
      <c r="C540" s="3">
        <v>902</v>
      </c>
      <c r="D540" t="s">
        <v>11</v>
      </c>
      <c r="E540" t="s">
        <v>149</v>
      </c>
      <c r="F540">
        <v>150</v>
      </c>
      <c r="G540" t="s">
        <v>150</v>
      </c>
      <c r="H540" s="9" t="s">
        <v>151</v>
      </c>
      <c r="I540" s="9" t="s">
        <v>152</v>
      </c>
      <c r="J540" t="s">
        <v>153</v>
      </c>
    </row>
    <row r="541" spans="1:10">
      <c r="A541">
        <v>2024</v>
      </c>
      <c r="B541" t="s">
        <v>121</v>
      </c>
      <c r="C541" s="3">
        <v>48</v>
      </c>
      <c r="D541" t="s">
        <v>11</v>
      </c>
      <c r="E541" t="s">
        <v>144</v>
      </c>
      <c r="F541">
        <v>161</v>
      </c>
      <c r="G541" t="s">
        <v>145</v>
      </c>
      <c r="H541" s="9" t="s">
        <v>146</v>
      </c>
      <c r="I541" s="9" t="s">
        <v>147</v>
      </c>
      <c r="J541" t="s">
        <v>148</v>
      </c>
    </row>
    <row r="542" spans="1:10">
      <c r="A542">
        <v>2024</v>
      </c>
      <c r="B542" t="s">
        <v>122</v>
      </c>
      <c r="C542" s="3">
        <v>64</v>
      </c>
      <c r="D542" t="s">
        <v>11</v>
      </c>
      <c r="E542" t="s">
        <v>144</v>
      </c>
      <c r="F542">
        <v>161</v>
      </c>
      <c r="G542" t="s">
        <v>145</v>
      </c>
      <c r="H542" s="9" t="s">
        <v>146</v>
      </c>
      <c r="I542" s="9" t="s">
        <v>147</v>
      </c>
      <c r="J542" t="s">
        <v>148</v>
      </c>
    </row>
    <row r="543" spans="1:10">
      <c r="A543">
        <v>2024</v>
      </c>
      <c r="B543" t="s">
        <v>123</v>
      </c>
      <c r="C543" s="3">
        <v>-30</v>
      </c>
      <c r="D543" t="s">
        <v>11</v>
      </c>
      <c r="E543" t="s">
        <v>144</v>
      </c>
      <c r="F543">
        <v>157</v>
      </c>
      <c r="G543" t="s">
        <v>145</v>
      </c>
      <c r="H543" s="9" t="s">
        <v>146</v>
      </c>
      <c r="I543" s="9" t="s">
        <v>147</v>
      </c>
      <c r="J543" t="s">
        <v>148</v>
      </c>
    </row>
    <row r="544" spans="1:10">
      <c r="A544">
        <v>2024</v>
      </c>
      <c r="B544" t="s">
        <v>43</v>
      </c>
      <c r="C544" s="3">
        <v>550</v>
      </c>
      <c r="D544" t="s">
        <v>11</v>
      </c>
      <c r="E544" t="s">
        <v>144</v>
      </c>
      <c r="F544">
        <v>159</v>
      </c>
      <c r="G544" t="s">
        <v>145</v>
      </c>
      <c r="H544" s="9" t="s">
        <v>146</v>
      </c>
      <c r="I544" s="9" t="s">
        <v>147</v>
      </c>
      <c r="J544" t="s">
        <v>148</v>
      </c>
    </row>
    <row r="545" spans="1:10">
      <c r="A545">
        <v>2024</v>
      </c>
      <c r="B545" t="s">
        <v>124</v>
      </c>
      <c r="C545" s="3">
        <v>53804</v>
      </c>
      <c r="D545" t="s">
        <v>11</v>
      </c>
      <c r="E545" t="s">
        <v>144</v>
      </c>
      <c r="F545">
        <v>195</v>
      </c>
      <c r="G545" t="s">
        <v>145</v>
      </c>
      <c r="H545" s="9" t="s">
        <v>146</v>
      </c>
      <c r="I545" s="9" t="s">
        <v>147</v>
      </c>
      <c r="J545" t="s">
        <v>148</v>
      </c>
    </row>
    <row r="546" spans="1:10">
      <c r="A546">
        <v>2024</v>
      </c>
      <c r="B546" t="s">
        <v>125</v>
      </c>
      <c r="C546" s="3">
        <v>26960</v>
      </c>
      <c r="D546" t="s">
        <v>11</v>
      </c>
      <c r="E546" t="s">
        <v>144</v>
      </c>
      <c r="F546">
        <v>195</v>
      </c>
      <c r="G546" t="s">
        <v>145</v>
      </c>
      <c r="H546" s="9" t="s">
        <v>146</v>
      </c>
      <c r="I546" s="9" t="s">
        <v>147</v>
      </c>
      <c r="J546" t="s">
        <v>148</v>
      </c>
    </row>
    <row r="547" spans="1:10">
      <c r="A547">
        <v>2024</v>
      </c>
      <c r="B547" t="s">
        <v>126</v>
      </c>
      <c r="C547" s="3">
        <v>24151</v>
      </c>
      <c r="D547" t="s">
        <v>11</v>
      </c>
      <c r="E547" t="s">
        <v>144</v>
      </c>
      <c r="F547">
        <v>195</v>
      </c>
      <c r="G547" t="s">
        <v>145</v>
      </c>
      <c r="H547" s="9" t="s">
        <v>146</v>
      </c>
      <c r="I547" s="9" t="s">
        <v>147</v>
      </c>
      <c r="J547" t="s">
        <v>148</v>
      </c>
    </row>
    <row r="548" spans="1:10">
      <c r="A548">
        <v>2024</v>
      </c>
      <c r="B548" t="s">
        <v>127</v>
      </c>
      <c r="C548" s="3">
        <v>-194</v>
      </c>
      <c r="D548" t="s">
        <v>11</v>
      </c>
      <c r="E548" t="s">
        <v>144</v>
      </c>
      <c r="F548">
        <v>195</v>
      </c>
      <c r="G548" t="s">
        <v>145</v>
      </c>
      <c r="H548" s="9" t="s">
        <v>146</v>
      </c>
      <c r="I548" s="9" t="s">
        <v>147</v>
      </c>
      <c r="J548" t="s">
        <v>148</v>
      </c>
    </row>
    <row r="549" spans="1:10">
      <c r="A549">
        <v>2024</v>
      </c>
      <c r="B549" t="s">
        <v>128</v>
      </c>
      <c r="C549" s="3">
        <v>-548</v>
      </c>
      <c r="D549" t="s">
        <v>11</v>
      </c>
      <c r="E549" t="s">
        <v>144</v>
      </c>
      <c r="F549">
        <v>195</v>
      </c>
      <c r="G549" t="s">
        <v>145</v>
      </c>
      <c r="H549" s="9" t="s">
        <v>146</v>
      </c>
      <c r="I549" s="9" t="s">
        <v>147</v>
      </c>
      <c r="J549" t="s">
        <v>148</v>
      </c>
    </row>
    <row r="550" spans="1:10">
      <c r="A550">
        <v>2024</v>
      </c>
      <c r="B550" t="s">
        <v>129</v>
      </c>
      <c r="C550" s="3">
        <v>26960</v>
      </c>
      <c r="D550" t="s">
        <v>37</v>
      </c>
      <c r="E550" t="s">
        <v>144</v>
      </c>
      <c r="F550">
        <v>195</v>
      </c>
      <c r="G550" t="s">
        <v>145</v>
      </c>
      <c r="H550" s="9" t="s">
        <v>146</v>
      </c>
      <c r="I550" s="9" t="s">
        <v>147</v>
      </c>
      <c r="J550" t="s">
        <v>148</v>
      </c>
    </row>
    <row r="551" spans="1:10">
      <c r="A551">
        <v>2024</v>
      </c>
      <c r="B551" t="s">
        <v>44</v>
      </c>
      <c r="C551" s="3">
        <v>49630</v>
      </c>
      <c r="D551" t="s">
        <v>11</v>
      </c>
      <c r="E551" t="s">
        <v>144</v>
      </c>
      <c r="F551">
        <v>159</v>
      </c>
      <c r="G551" t="s">
        <v>145</v>
      </c>
      <c r="H551" s="9" t="s">
        <v>146</v>
      </c>
      <c r="I551" s="9" t="s">
        <v>147</v>
      </c>
      <c r="J551" t="s">
        <v>148</v>
      </c>
    </row>
    <row r="552" spans="1:10">
      <c r="A552">
        <v>2024</v>
      </c>
      <c r="B552" t="s">
        <v>130</v>
      </c>
      <c r="C552" s="3">
        <v>2</v>
      </c>
      <c r="D552" t="s">
        <v>11</v>
      </c>
      <c r="E552" t="s">
        <v>144</v>
      </c>
      <c r="F552">
        <v>160</v>
      </c>
      <c r="G552" t="s">
        <v>145</v>
      </c>
      <c r="H552" s="9" t="s">
        <v>146</v>
      </c>
      <c r="I552" s="9" t="s">
        <v>147</v>
      </c>
      <c r="J552" t="s">
        <v>148</v>
      </c>
    </row>
    <row r="553" spans="1:10">
      <c r="A553">
        <v>2024</v>
      </c>
      <c r="B553" t="s">
        <v>131</v>
      </c>
      <c r="C553" s="3">
        <v>1003</v>
      </c>
      <c r="D553" t="s">
        <v>11</v>
      </c>
      <c r="E553" t="s">
        <v>144</v>
      </c>
      <c r="F553">
        <v>161</v>
      </c>
      <c r="G553" t="s">
        <v>145</v>
      </c>
      <c r="H553" s="9" t="s">
        <v>146</v>
      </c>
      <c r="I553" s="9" t="s">
        <v>147</v>
      </c>
      <c r="J553" t="s">
        <v>148</v>
      </c>
    </row>
    <row r="554" spans="1:10">
      <c r="A554">
        <v>2024</v>
      </c>
      <c r="B554" t="s">
        <v>45</v>
      </c>
      <c r="C554" s="3">
        <v>4766</v>
      </c>
      <c r="D554" t="s">
        <v>11</v>
      </c>
      <c r="E554" t="s">
        <v>149</v>
      </c>
      <c r="F554">
        <v>150</v>
      </c>
      <c r="G554" t="s">
        <v>150</v>
      </c>
      <c r="H554" s="9" t="s">
        <v>151</v>
      </c>
      <c r="I554" s="9" t="s">
        <v>152</v>
      </c>
      <c r="J554" t="s">
        <v>153</v>
      </c>
    </row>
    <row r="555" spans="1:10">
      <c r="A555">
        <v>2024</v>
      </c>
      <c r="B555" t="s">
        <v>132</v>
      </c>
      <c r="C555" s="3">
        <v>370</v>
      </c>
      <c r="D555" t="s">
        <v>11</v>
      </c>
      <c r="E555" t="s">
        <v>144</v>
      </c>
      <c r="F555">
        <v>161</v>
      </c>
      <c r="G555" t="s">
        <v>145</v>
      </c>
      <c r="H555" s="9" t="s">
        <v>146</v>
      </c>
      <c r="I555" s="9" t="s">
        <v>147</v>
      </c>
      <c r="J555" t="s">
        <v>148</v>
      </c>
    </row>
    <row r="556" spans="1:10">
      <c r="A556">
        <v>2024</v>
      </c>
      <c r="B556" t="s">
        <v>133</v>
      </c>
      <c r="C556" s="3">
        <v>260</v>
      </c>
      <c r="D556" t="s">
        <v>11</v>
      </c>
      <c r="E556" t="s">
        <v>144</v>
      </c>
      <c r="F556">
        <v>160</v>
      </c>
      <c r="G556" t="s">
        <v>145</v>
      </c>
      <c r="H556" s="9" t="s">
        <v>146</v>
      </c>
      <c r="I556" s="9" t="s">
        <v>147</v>
      </c>
      <c r="J556" t="s">
        <v>148</v>
      </c>
    </row>
    <row r="557" spans="1:10">
      <c r="A557">
        <v>2024</v>
      </c>
      <c r="B557" t="s">
        <v>134</v>
      </c>
      <c r="C557" s="3">
        <v>1181</v>
      </c>
      <c r="D557" t="s">
        <v>11</v>
      </c>
      <c r="E557" t="s">
        <v>144</v>
      </c>
      <c r="F557">
        <v>157</v>
      </c>
      <c r="G557" t="s">
        <v>145</v>
      </c>
      <c r="H557" s="9" t="s">
        <v>146</v>
      </c>
      <c r="I557" s="9" t="s">
        <v>147</v>
      </c>
      <c r="J557" t="s">
        <v>148</v>
      </c>
    </row>
    <row r="558" spans="1:10">
      <c r="A558">
        <v>2024</v>
      </c>
      <c r="B558" t="s">
        <v>46</v>
      </c>
      <c r="C558" s="3">
        <v>133189</v>
      </c>
      <c r="D558" t="s">
        <v>11</v>
      </c>
      <c r="E558" t="s">
        <v>149</v>
      </c>
      <c r="F558">
        <v>150</v>
      </c>
      <c r="G558" t="s">
        <v>150</v>
      </c>
      <c r="H558" s="9" t="s">
        <v>151</v>
      </c>
      <c r="I558" s="9" t="s">
        <v>152</v>
      </c>
      <c r="J558" t="s">
        <v>153</v>
      </c>
    </row>
    <row r="559" spans="1:10">
      <c r="A559">
        <v>2024</v>
      </c>
      <c r="B559" t="s">
        <v>135</v>
      </c>
      <c r="C559" s="3">
        <v>40243</v>
      </c>
      <c r="D559" t="s">
        <v>11</v>
      </c>
      <c r="E559" t="s">
        <v>144</v>
      </c>
      <c r="F559">
        <v>157</v>
      </c>
      <c r="G559" t="s">
        <v>145</v>
      </c>
      <c r="H559" s="9" t="s">
        <v>146</v>
      </c>
      <c r="I559" s="9" t="s">
        <v>147</v>
      </c>
      <c r="J559" t="s">
        <v>148</v>
      </c>
    </row>
    <row r="560" spans="1:10">
      <c r="A560">
        <v>2024</v>
      </c>
      <c r="B560" t="s">
        <v>47</v>
      </c>
      <c r="C560" s="3">
        <v>94223</v>
      </c>
      <c r="D560" t="s">
        <v>11</v>
      </c>
      <c r="E560" t="s">
        <v>149</v>
      </c>
      <c r="F560">
        <v>150</v>
      </c>
      <c r="G560" t="s">
        <v>150</v>
      </c>
      <c r="H560" s="9" t="s">
        <v>151</v>
      </c>
      <c r="I560" s="9" t="s">
        <v>152</v>
      </c>
      <c r="J560" t="s">
        <v>153</v>
      </c>
    </row>
    <row r="561" spans="1:10">
      <c r="A561">
        <v>2024</v>
      </c>
      <c r="B561" t="s">
        <v>48</v>
      </c>
      <c r="C561" s="3">
        <v>105325</v>
      </c>
      <c r="D561" t="s">
        <v>11</v>
      </c>
      <c r="E561" t="s">
        <v>149</v>
      </c>
      <c r="F561">
        <v>150</v>
      </c>
      <c r="G561" t="s">
        <v>150</v>
      </c>
      <c r="H561" s="9" t="s">
        <v>151</v>
      </c>
      <c r="I561" s="9" t="s">
        <v>152</v>
      </c>
      <c r="J561" t="s">
        <v>153</v>
      </c>
    </row>
    <row r="562" spans="1:10">
      <c r="A562">
        <v>2024</v>
      </c>
      <c r="B562" t="s">
        <v>136</v>
      </c>
      <c r="C562" s="3">
        <v>-496</v>
      </c>
      <c r="D562" t="s">
        <v>11</v>
      </c>
      <c r="E562" t="s">
        <v>144</v>
      </c>
      <c r="F562">
        <v>160</v>
      </c>
      <c r="G562" t="s">
        <v>145</v>
      </c>
      <c r="H562" s="9" t="s">
        <v>146</v>
      </c>
      <c r="I562" s="9" t="s">
        <v>147</v>
      </c>
      <c r="J562" t="s">
        <v>148</v>
      </c>
    </row>
    <row r="563" spans="1:10">
      <c r="A563">
        <v>2024</v>
      </c>
      <c r="B563" t="s">
        <v>49</v>
      </c>
      <c r="C563" s="3">
        <v>8000</v>
      </c>
      <c r="D563" t="s">
        <v>11</v>
      </c>
      <c r="E563" t="s">
        <v>149</v>
      </c>
      <c r="F563">
        <v>150</v>
      </c>
      <c r="G563" t="s">
        <v>150</v>
      </c>
      <c r="H563" s="9" t="s">
        <v>151</v>
      </c>
      <c r="I563" s="9" t="s">
        <v>152</v>
      </c>
      <c r="J563" t="s">
        <v>153</v>
      </c>
    </row>
    <row r="564" spans="1:10">
      <c r="A564">
        <v>2024</v>
      </c>
      <c r="B564" t="s">
        <v>137</v>
      </c>
      <c r="C564" s="3">
        <v>46423</v>
      </c>
      <c r="D564" t="s">
        <v>11</v>
      </c>
      <c r="E564" t="s">
        <v>144</v>
      </c>
      <c r="F564">
        <v>157</v>
      </c>
      <c r="G564" t="s">
        <v>145</v>
      </c>
      <c r="H564" s="9" t="s">
        <v>146</v>
      </c>
      <c r="I564" s="9" t="s">
        <v>147</v>
      </c>
      <c r="J564" t="s">
        <v>148</v>
      </c>
    </row>
    <row r="565" spans="1:10">
      <c r="A565">
        <v>2024</v>
      </c>
      <c r="B565" t="s">
        <v>50</v>
      </c>
      <c r="C565" s="3">
        <v>-42251</v>
      </c>
      <c r="D565" t="s">
        <v>11</v>
      </c>
      <c r="E565" t="s">
        <v>144</v>
      </c>
      <c r="F565">
        <v>159</v>
      </c>
      <c r="G565" t="s">
        <v>145</v>
      </c>
      <c r="H565" s="9" t="s">
        <v>146</v>
      </c>
      <c r="I565" s="9" t="s">
        <v>147</v>
      </c>
      <c r="J565" t="s">
        <v>148</v>
      </c>
    </row>
    <row r="566" spans="1:10">
      <c r="A566">
        <v>2024</v>
      </c>
      <c r="B566" t="s">
        <v>51</v>
      </c>
      <c r="C566" s="3">
        <v>7669</v>
      </c>
      <c r="D566" t="s">
        <v>11</v>
      </c>
      <c r="E566" t="s">
        <v>144</v>
      </c>
      <c r="F566">
        <v>195</v>
      </c>
      <c r="G566" t="s">
        <v>145</v>
      </c>
      <c r="H566" s="9" t="s">
        <v>146</v>
      </c>
      <c r="I566" s="9" t="s">
        <v>147</v>
      </c>
      <c r="J566" t="s">
        <v>148</v>
      </c>
    </row>
    <row r="567" spans="1:10">
      <c r="A567">
        <v>2025</v>
      </c>
      <c r="B567" t="s">
        <v>10</v>
      </c>
      <c r="C567" s="3">
        <v>877</v>
      </c>
      <c r="D567" t="s">
        <v>11</v>
      </c>
      <c r="E567" t="s">
        <v>144</v>
      </c>
      <c r="F567">
        <v>159</v>
      </c>
      <c r="G567" t="s">
        <v>145</v>
      </c>
      <c r="H567" s="9" t="s">
        <v>146</v>
      </c>
      <c r="I567" s="9" t="s">
        <v>147</v>
      </c>
      <c r="J567" t="s">
        <v>148</v>
      </c>
    </row>
    <row r="568" spans="1:10">
      <c r="A568">
        <v>2025</v>
      </c>
      <c r="B568" t="s">
        <v>57</v>
      </c>
      <c r="C568" s="3">
        <v>0</v>
      </c>
      <c r="D568" t="s">
        <v>11</v>
      </c>
      <c r="E568" t="s">
        <v>144</v>
      </c>
      <c r="F568">
        <v>195</v>
      </c>
      <c r="G568" t="s">
        <v>145</v>
      </c>
      <c r="H568" s="9" t="s">
        <v>146</v>
      </c>
      <c r="I568" s="9" t="s">
        <v>147</v>
      </c>
      <c r="J568" t="s">
        <v>148</v>
      </c>
    </row>
    <row r="569" spans="1:10">
      <c r="A569">
        <v>2025</v>
      </c>
      <c r="B569" t="s">
        <v>58</v>
      </c>
      <c r="C569" s="3">
        <v>0</v>
      </c>
      <c r="D569" t="s">
        <v>11</v>
      </c>
      <c r="E569" t="s">
        <v>144</v>
      </c>
      <c r="F569">
        <v>160</v>
      </c>
      <c r="G569" t="s">
        <v>145</v>
      </c>
      <c r="H569" s="9" t="s">
        <v>146</v>
      </c>
      <c r="I569" s="9" t="s">
        <v>147</v>
      </c>
      <c r="J569" t="s">
        <v>148</v>
      </c>
    </row>
    <row r="570" spans="1:10">
      <c r="A570">
        <v>2025</v>
      </c>
      <c r="B570" t="s">
        <v>17</v>
      </c>
      <c r="C570" s="3">
        <v>-2500</v>
      </c>
      <c r="D570" t="s">
        <v>11</v>
      </c>
      <c r="E570" t="s">
        <v>144</v>
      </c>
      <c r="F570">
        <v>159</v>
      </c>
      <c r="G570" t="s">
        <v>145</v>
      </c>
      <c r="H570" s="9" t="s">
        <v>146</v>
      </c>
      <c r="I570" s="9" t="s">
        <v>147</v>
      </c>
      <c r="J570" t="s">
        <v>148</v>
      </c>
    </row>
    <row r="571" spans="1:10">
      <c r="A571">
        <v>2025</v>
      </c>
      <c r="B571" t="s">
        <v>154</v>
      </c>
      <c r="C571" s="3">
        <v>4550</v>
      </c>
      <c r="D571" t="s">
        <v>11</v>
      </c>
      <c r="E571" t="s">
        <v>144</v>
      </c>
      <c r="F571">
        <v>159</v>
      </c>
      <c r="G571" t="s">
        <v>145</v>
      </c>
      <c r="H571" s="9" t="s">
        <v>146</v>
      </c>
      <c r="I571" s="9" t="s">
        <v>147</v>
      </c>
      <c r="J571" t="s">
        <v>148</v>
      </c>
    </row>
    <row r="572" spans="1:10">
      <c r="A572">
        <v>2025</v>
      </c>
      <c r="B572" t="s">
        <v>64</v>
      </c>
      <c r="C572" s="3">
        <v>2110</v>
      </c>
      <c r="D572" t="s">
        <v>11</v>
      </c>
      <c r="E572" t="s">
        <v>144</v>
      </c>
      <c r="F572">
        <v>193</v>
      </c>
      <c r="G572" t="s">
        <v>145</v>
      </c>
      <c r="H572" s="9" t="s">
        <v>146</v>
      </c>
      <c r="I572" s="9" t="s">
        <v>147</v>
      </c>
      <c r="J572" t="s">
        <v>148</v>
      </c>
    </row>
    <row r="573" spans="1:10">
      <c r="A573">
        <v>2025</v>
      </c>
      <c r="B573" t="s">
        <v>65</v>
      </c>
      <c r="C573" s="3">
        <v>2136</v>
      </c>
      <c r="D573" t="s">
        <v>11</v>
      </c>
      <c r="E573" t="s">
        <v>144</v>
      </c>
      <c r="F573">
        <v>193</v>
      </c>
      <c r="G573" t="s">
        <v>145</v>
      </c>
      <c r="H573" s="9" t="s">
        <v>146</v>
      </c>
      <c r="I573" s="9" t="s">
        <v>147</v>
      </c>
      <c r="J573" t="s">
        <v>148</v>
      </c>
    </row>
    <row r="574" spans="1:10">
      <c r="A574">
        <v>2025</v>
      </c>
      <c r="B574" t="s">
        <v>18</v>
      </c>
      <c r="C574" s="3">
        <v>65737</v>
      </c>
      <c r="D574" t="s">
        <v>11</v>
      </c>
      <c r="E574" t="s">
        <v>144</v>
      </c>
      <c r="F574">
        <v>159</v>
      </c>
      <c r="G574" t="s">
        <v>145</v>
      </c>
      <c r="H574" s="9" t="s">
        <v>146</v>
      </c>
      <c r="I574" s="9" t="s">
        <v>147</v>
      </c>
      <c r="J574" t="s">
        <v>148</v>
      </c>
    </row>
    <row r="575" spans="1:10">
      <c r="A575">
        <v>2025</v>
      </c>
      <c r="B575" t="s">
        <v>19</v>
      </c>
      <c r="C575" s="3">
        <v>842</v>
      </c>
      <c r="D575" t="s">
        <v>11</v>
      </c>
      <c r="E575" t="s">
        <v>144</v>
      </c>
      <c r="F575">
        <v>159</v>
      </c>
      <c r="G575" t="s">
        <v>145</v>
      </c>
      <c r="H575" s="9" t="s">
        <v>146</v>
      </c>
      <c r="I575" s="9" t="s">
        <v>147</v>
      </c>
      <c r="J575" t="s">
        <v>148</v>
      </c>
    </row>
    <row r="576" spans="1:10">
      <c r="A576">
        <v>2025</v>
      </c>
      <c r="B576" t="s">
        <v>66</v>
      </c>
      <c r="C576" s="3">
        <v>314</v>
      </c>
      <c r="D576" t="s">
        <v>11</v>
      </c>
      <c r="E576" t="s">
        <v>144</v>
      </c>
      <c r="F576">
        <v>161</v>
      </c>
      <c r="G576" t="s">
        <v>145</v>
      </c>
      <c r="H576" s="9" t="s">
        <v>146</v>
      </c>
      <c r="I576" s="9" t="s">
        <v>147</v>
      </c>
      <c r="J576" t="s">
        <v>148</v>
      </c>
    </row>
    <row r="577" spans="1:10">
      <c r="A577">
        <v>2025</v>
      </c>
      <c r="B577" t="s">
        <v>67</v>
      </c>
      <c r="C577" s="3">
        <v>842</v>
      </c>
      <c r="D577" t="s">
        <v>11</v>
      </c>
      <c r="E577" t="s">
        <v>144</v>
      </c>
      <c r="F577">
        <v>161</v>
      </c>
      <c r="G577" t="s">
        <v>145</v>
      </c>
      <c r="H577" s="9" t="s">
        <v>146</v>
      </c>
      <c r="I577" s="9" t="s">
        <v>147</v>
      </c>
      <c r="J577" t="s">
        <v>148</v>
      </c>
    </row>
    <row r="578" spans="1:10">
      <c r="A578">
        <v>2025</v>
      </c>
      <c r="B578" t="s">
        <v>68</v>
      </c>
      <c r="C578" s="3">
        <v>6288</v>
      </c>
      <c r="D578" t="s">
        <v>11</v>
      </c>
      <c r="E578" t="s">
        <v>144</v>
      </c>
      <c r="F578">
        <v>161</v>
      </c>
      <c r="G578" t="s">
        <v>145</v>
      </c>
      <c r="H578" s="9" t="s">
        <v>146</v>
      </c>
      <c r="I578" s="9" t="s">
        <v>147</v>
      </c>
      <c r="J578" t="s">
        <v>148</v>
      </c>
    </row>
    <row r="579" spans="1:10">
      <c r="A579">
        <v>2025</v>
      </c>
      <c r="B579" t="s">
        <v>69</v>
      </c>
      <c r="C579" s="3">
        <v>699</v>
      </c>
      <c r="D579" t="s">
        <v>11</v>
      </c>
      <c r="E579" t="s">
        <v>144</v>
      </c>
      <c r="F579">
        <v>161</v>
      </c>
      <c r="G579" t="s">
        <v>145</v>
      </c>
      <c r="H579" s="9" t="s">
        <v>146</v>
      </c>
      <c r="I579" s="9" t="s">
        <v>147</v>
      </c>
      <c r="J579" t="s">
        <v>148</v>
      </c>
    </row>
    <row r="580" spans="1:10">
      <c r="A580">
        <v>2025</v>
      </c>
      <c r="B580" t="s">
        <v>70</v>
      </c>
      <c r="C580" s="3">
        <v>23</v>
      </c>
      <c r="D580" t="s">
        <v>11</v>
      </c>
      <c r="E580" t="s">
        <v>144</v>
      </c>
      <c r="F580">
        <v>161</v>
      </c>
      <c r="G580" t="s">
        <v>145</v>
      </c>
      <c r="H580" s="9" t="s">
        <v>146</v>
      </c>
      <c r="I580" s="9" t="s">
        <v>147</v>
      </c>
      <c r="J580" t="s">
        <v>148</v>
      </c>
    </row>
    <row r="581" spans="1:10">
      <c r="A581">
        <v>2025</v>
      </c>
      <c r="B581" t="s">
        <v>155</v>
      </c>
      <c r="C581" s="3">
        <v>171</v>
      </c>
      <c r="D581" t="s">
        <v>11</v>
      </c>
      <c r="E581" t="s">
        <v>144</v>
      </c>
      <c r="F581">
        <v>161</v>
      </c>
      <c r="G581" t="s">
        <v>145</v>
      </c>
      <c r="H581" s="9" t="s">
        <v>146</v>
      </c>
      <c r="I581" s="9" t="s">
        <v>147</v>
      </c>
      <c r="J581" t="s">
        <v>148</v>
      </c>
    </row>
    <row r="582" spans="1:10">
      <c r="A582">
        <v>2025</v>
      </c>
      <c r="B582" t="s">
        <v>71</v>
      </c>
      <c r="C582" s="3">
        <v>1274</v>
      </c>
      <c r="D582" t="s">
        <v>11</v>
      </c>
      <c r="E582" t="s">
        <v>144</v>
      </c>
      <c r="F582">
        <v>161</v>
      </c>
      <c r="G582" t="s">
        <v>145</v>
      </c>
      <c r="H582" s="9" t="s">
        <v>146</v>
      </c>
      <c r="I582" s="9" t="s">
        <v>147</v>
      </c>
      <c r="J582" t="s">
        <v>148</v>
      </c>
    </row>
    <row r="583" spans="1:10">
      <c r="A583">
        <v>2025</v>
      </c>
      <c r="B583" t="s">
        <v>72</v>
      </c>
      <c r="C583" s="3">
        <v>3238</v>
      </c>
      <c r="D583" t="s">
        <v>11</v>
      </c>
      <c r="E583" t="s">
        <v>144</v>
      </c>
      <c r="F583">
        <v>193</v>
      </c>
      <c r="G583" t="s">
        <v>145</v>
      </c>
      <c r="H583" s="9" t="s">
        <v>146</v>
      </c>
      <c r="I583" s="9" t="s">
        <v>147</v>
      </c>
      <c r="J583" t="s">
        <v>148</v>
      </c>
    </row>
    <row r="584" spans="1:10">
      <c r="A584">
        <v>2025</v>
      </c>
      <c r="B584" t="s">
        <v>20</v>
      </c>
      <c r="C584" s="3">
        <v>1283</v>
      </c>
      <c r="D584" t="s">
        <v>11</v>
      </c>
      <c r="E584" t="s">
        <v>144</v>
      </c>
      <c r="F584">
        <v>159</v>
      </c>
      <c r="G584" t="s">
        <v>145</v>
      </c>
      <c r="H584" s="9" t="s">
        <v>146</v>
      </c>
      <c r="I584" s="9" t="s">
        <v>147</v>
      </c>
      <c r="J584" t="s">
        <v>148</v>
      </c>
    </row>
    <row r="585" spans="1:10">
      <c r="A585">
        <v>2025</v>
      </c>
      <c r="B585" t="s">
        <v>78</v>
      </c>
      <c r="C585" s="3">
        <v>3343</v>
      </c>
      <c r="D585" t="s">
        <v>11</v>
      </c>
      <c r="E585" t="s">
        <v>144</v>
      </c>
      <c r="F585">
        <v>193</v>
      </c>
      <c r="G585" t="s">
        <v>145</v>
      </c>
      <c r="H585" s="9" t="s">
        <v>146</v>
      </c>
      <c r="I585" s="9" t="s">
        <v>147</v>
      </c>
      <c r="J585" t="s">
        <v>148</v>
      </c>
    </row>
    <row r="586" spans="1:10">
      <c r="A586">
        <v>2025</v>
      </c>
      <c r="B586" t="s">
        <v>79</v>
      </c>
      <c r="C586" s="3">
        <v>-2663</v>
      </c>
      <c r="D586" t="s">
        <v>11</v>
      </c>
      <c r="E586" t="s">
        <v>144</v>
      </c>
      <c r="F586">
        <v>161</v>
      </c>
      <c r="G586" t="s">
        <v>145</v>
      </c>
      <c r="H586" s="9" t="s">
        <v>146</v>
      </c>
      <c r="I586" s="9" t="s">
        <v>147</v>
      </c>
      <c r="J586" t="s">
        <v>148</v>
      </c>
    </row>
    <row r="587" spans="1:10">
      <c r="A587">
        <v>2025</v>
      </c>
      <c r="B587" t="s">
        <v>80</v>
      </c>
      <c r="C587" s="3">
        <v>-7652</v>
      </c>
      <c r="D587" t="s">
        <v>11</v>
      </c>
      <c r="E587" t="s">
        <v>144</v>
      </c>
      <c r="F587">
        <v>161</v>
      </c>
      <c r="G587" t="s">
        <v>145</v>
      </c>
      <c r="H587" s="9" t="s">
        <v>146</v>
      </c>
      <c r="I587" s="9" t="s">
        <v>147</v>
      </c>
      <c r="J587" t="s">
        <v>148</v>
      </c>
    </row>
    <row r="588" spans="1:10">
      <c r="A588">
        <v>2025</v>
      </c>
      <c r="B588" t="s">
        <v>81</v>
      </c>
      <c r="C588" s="3">
        <v>10606</v>
      </c>
      <c r="D588" t="s">
        <v>11</v>
      </c>
      <c r="E588" t="s">
        <v>144</v>
      </c>
      <c r="F588">
        <v>161</v>
      </c>
      <c r="G588" t="s">
        <v>145</v>
      </c>
      <c r="H588" s="9" t="s">
        <v>146</v>
      </c>
      <c r="I588" s="9" t="s">
        <v>147</v>
      </c>
      <c r="J588" t="s">
        <v>148</v>
      </c>
    </row>
    <row r="589" spans="1:10">
      <c r="A589">
        <v>2025</v>
      </c>
      <c r="B589" t="s">
        <v>82</v>
      </c>
      <c r="C589" s="3">
        <v>27221</v>
      </c>
      <c r="D589" t="s">
        <v>11</v>
      </c>
      <c r="E589" t="s">
        <v>144</v>
      </c>
      <c r="F589">
        <v>157</v>
      </c>
      <c r="G589" t="s">
        <v>145</v>
      </c>
      <c r="H589" s="9" t="s">
        <v>146</v>
      </c>
      <c r="I589" s="9" t="s">
        <v>147</v>
      </c>
      <c r="J589" t="s">
        <v>148</v>
      </c>
    </row>
    <row r="590" spans="1:10">
      <c r="A590">
        <v>2025</v>
      </c>
      <c r="B590" t="s">
        <v>83</v>
      </c>
      <c r="C590" s="3">
        <v>-2500</v>
      </c>
      <c r="D590" t="s">
        <v>11</v>
      </c>
      <c r="E590" t="s">
        <v>144</v>
      </c>
      <c r="F590">
        <v>160</v>
      </c>
      <c r="G590" t="s">
        <v>145</v>
      </c>
      <c r="H590" s="9" t="s">
        <v>146</v>
      </c>
      <c r="I590" s="9" t="s">
        <v>147</v>
      </c>
      <c r="J590" t="s">
        <v>148</v>
      </c>
    </row>
    <row r="591" spans="1:10">
      <c r="A591">
        <v>2025</v>
      </c>
      <c r="B591" t="s">
        <v>84</v>
      </c>
      <c r="C591" s="3">
        <v>32894</v>
      </c>
      <c r="D591" t="s">
        <v>11</v>
      </c>
      <c r="E591" t="s">
        <v>144</v>
      </c>
      <c r="F591">
        <v>160</v>
      </c>
      <c r="G591" t="s">
        <v>145</v>
      </c>
      <c r="H591" s="9" t="s">
        <v>146</v>
      </c>
      <c r="I591" s="9" t="s">
        <v>147</v>
      </c>
      <c r="J591" t="s">
        <v>148</v>
      </c>
    </row>
    <row r="592" spans="1:10">
      <c r="A592">
        <v>2025</v>
      </c>
      <c r="B592" t="s">
        <v>85</v>
      </c>
      <c r="C592" s="3">
        <v>217.5</v>
      </c>
      <c r="D592" t="s">
        <v>11</v>
      </c>
      <c r="E592" t="s">
        <v>144</v>
      </c>
      <c r="F592">
        <v>160</v>
      </c>
      <c r="G592" t="s">
        <v>145</v>
      </c>
      <c r="H592" s="9" t="s">
        <v>146</v>
      </c>
      <c r="I592" s="9" t="s">
        <v>147</v>
      </c>
      <c r="J592" t="s">
        <v>148</v>
      </c>
    </row>
    <row r="593" spans="1:10">
      <c r="A593">
        <v>2025</v>
      </c>
      <c r="B593" t="s">
        <v>21</v>
      </c>
      <c r="C593" s="3">
        <v>25910</v>
      </c>
      <c r="D593" t="s">
        <v>11</v>
      </c>
      <c r="E593" t="s">
        <v>144</v>
      </c>
      <c r="F593">
        <v>159</v>
      </c>
      <c r="G593" t="s">
        <v>145</v>
      </c>
      <c r="H593" s="9" t="s">
        <v>146</v>
      </c>
      <c r="I593" s="9" t="s">
        <v>147</v>
      </c>
      <c r="J593" t="s">
        <v>148</v>
      </c>
    </row>
    <row r="594" spans="1:10">
      <c r="A594">
        <v>2025</v>
      </c>
      <c r="B594" t="s">
        <v>22</v>
      </c>
      <c r="C594" s="3">
        <v>3026</v>
      </c>
      <c r="D594" t="s">
        <v>11</v>
      </c>
      <c r="E594" t="s">
        <v>144</v>
      </c>
      <c r="F594">
        <v>159</v>
      </c>
      <c r="G594" t="s">
        <v>145</v>
      </c>
      <c r="H594" s="9" t="s">
        <v>146</v>
      </c>
      <c r="I594" s="9" t="s">
        <v>147</v>
      </c>
      <c r="J594" t="s">
        <v>148</v>
      </c>
    </row>
    <row r="595" spans="1:10">
      <c r="A595">
        <v>2025</v>
      </c>
      <c r="B595" t="s">
        <v>23</v>
      </c>
      <c r="C595" s="3">
        <v>3010</v>
      </c>
      <c r="D595" t="s">
        <v>11</v>
      </c>
      <c r="E595" t="s">
        <v>144</v>
      </c>
      <c r="F595">
        <v>159</v>
      </c>
      <c r="G595" t="s">
        <v>145</v>
      </c>
      <c r="H595" s="9" t="s">
        <v>146</v>
      </c>
      <c r="I595" s="9" t="s">
        <v>147</v>
      </c>
      <c r="J595" t="s">
        <v>148</v>
      </c>
    </row>
    <row r="596" spans="1:10">
      <c r="A596">
        <v>2025</v>
      </c>
      <c r="B596" t="s">
        <v>86</v>
      </c>
      <c r="C596" s="3">
        <v>28051</v>
      </c>
      <c r="D596" t="s">
        <v>11</v>
      </c>
      <c r="E596" t="s">
        <v>144</v>
      </c>
      <c r="F596">
        <v>195</v>
      </c>
      <c r="G596" t="s">
        <v>145</v>
      </c>
      <c r="H596" s="9" t="s">
        <v>146</v>
      </c>
      <c r="I596" s="9" t="s">
        <v>147</v>
      </c>
      <c r="J596" t="s">
        <v>148</v>
      </c>
    </row>
    <row r="597" spans="1:10">
      <c r="A597">
        <v>2025</v>
      </c>
      <c r="B597" t="s">
        <v>24</v>
      </c>
      <c r="C597" s="3">
        <v>3518</v>
      </c>
      <c r="D597" t="s">
        <v>11</v>
      </c>
      <c r="E597" t="s">
        <v>144</v>
      </c>
      <c r="F597">
        <v>159</v>
      </c>
      <c r="G597" t="s">
        <v>145</v>
      </c>
      <c r="H597" s="9" t="s">
        <v>146</v>
      </c>
      <c r="I597" s="9" t="s">
        <v>147</v>
      </c>
      <c r="J597" t="s">
        <v>148</v>
      </c>
    </row>
    <row r="598" spans="1:10">
      <c r="A598">
        <v>2025</v>
      </c>
      <c r="B598" t="s">
        <v>87</v>
      </c>
      <c r="C598" s="3">
        <v>7266</v>
      </c>
      <c r="D598" t="s">
        <v>11</v>
      </c>
      <c r="E598" t="s">
        <v>144</v>
      </c>
      <c r="F598">
        <v>157</v>
      </c>
      <c r="G598" t="s">
        <v>145</v>
      </c>
      <c r="H598" s="9" t="s">
        <v>146</v>
      </c>
      <c r="I598" s="9" t="s">
        <v>147</v>
      </c>
      <c r="J598" t="s">
        <v>148</v>
      </c>
    </row>
    <row r="599" spans="1:10">
      <c r="A599">
        <v>2025</v>
      </c>
      <c r="B599" t="s">
        <v>88</v>
      </c>
      <c r="C599" s="3">
        <v>7373</v>
      </c>
      <c r="D599" t="s">
        <v>11</v>
      </c>
      <c r="E599" t="s">
        <v>144</v>
      </c>
      <c r="F599">
        <v>161</v>
      </c>
      <c r="G599" t="s">
        <v>145</v>
      </c>
      <c r="H599" s="9" t="s">
        <v>146</v>
      </c>
      <c r="I599" s="9" t="s">
        <v>147</v>
      </c>
      <c r="J599" t="s">
        <v>148</v>
      </c>
    </row>
    <row r="600" spans="1:10">
      <c r="A600">
        <v>2025</v>
      </c>
      <c r="B600" t="s">
        <v>25</v>
      </c>
      <c r="C600" s="3">
        <v>9267</v>
      </c>
      <c r="D600" t="s">
        <v>11</v>
      </c>
      <c r="E600" t="s">
        <v>144</v>
      </c>
      <c r="F600">
        <v>159</v>
      </c>
      <c r="G600" t="s">
        <v>145</v>
      </c>
      <c r="H600" s="9" t="s">
        <v>146</v>
      </c>
      <c r="I600" s="9" t="s">
        <v>147</v>
      </c>
      <c r="J600" t="s">
        <v>148</v>
      </c>
    </row>
    <row r="601" spans="1:10">
      <c r="A601">
        <v>2025</v>
      </c>
      <c r="B601" t="s">
        <v>89</v>
      </c>
      <c r="C601" s="3">
        <v>1233</v>
      </c>
      <c r="D601" t="s">
        <v>11</v>
      </c>
      <c r="E601" t="s">
        <v>144</v>
      </c>
      <c r="F601">
        <v>161</v>
      </c>
      <c r="G601" t="s">
        <v>145</v>
      </c>
      <c r="H601" s="9" t="s">
        <v>146</v>
      </c>
      <c r="I601" s="9" t="s">
        <v>147</v>
      </c>
      <c r="J601" t="s">
        <v>148</v>
      </c>
    </row>
    <row r="602" spans="1:10">
      <c r="A602">
        <v>2025</v>
      </c>
      <c r="B602" t="s">
        <v>90</v>
      </c>
      <c r="C602" s="3">
        <v>0</v>
      </c>
      <c r="D602" t="s">
        <v>11</v>
      </c>
      <c r="E602" t="s">
        <v>144</v>
      </c>
      <c r="F602">
        <v>161</v>
      </c>
      <c r="G602" t="s">
        <v>145</v>
      </c>
      <c r="H602" s="9" t="s">
        <v>146</v>
      </c>
      <c r="I602" s="9" t="s">
        <v>147</v>
      </c>
      <c r="J602" t="s">
        <v>148</v>
      </c>
    </row>
    <row r="603" spans="1:10">
      <c r="A603">
        <v>2025</v>
      </c>
      <c r="B603" t="s">
        <v>143</v>
      </c>
      <c r="C603" s="3">
        <v>887</v>
      </c>
      <c r="D603" t="s">
        <v>11</v>
      </c>
      <c r="E603" t="s">
        <v>144</v>
      </c>
      <c r="F603">
        <v>159</v>
      </c>
      <c r="G603" t="s">
        <v>145</v>
      </c>
      <c r="H603" s="9" t="s">
        <v>146</v>
      </c>
      <c r="I603" s="9" t="s">
        <v>147</v>
      </c>
      <c r="J603" t="s">
        <v>148</v>
      </c>
    </row>
    <row r="604" spans="1:10">
      <c r="A604">
        <v>2025</v>
      </c>
      <c r="B604" t="s">
        <v>91</v>
      </c>
      <c r="C604" s="3">
        <v>45042</v>
      </c>
      <c r="D604" t="s">
        <v>11</v>
      </c>
      <c r="E604" t="s">
        <v>144</v>
      </c>
      <c r="F604">
        <v>193</v>
      </c>
      <c r="G604" t="s">
        <v>145</v>
      </c>
      <c r="H604" s="9" t="s">
        <v>146</v>
      </c>
      <c r="I604" s="9" t="s">
        <v>147</v>
      </c>
      <c r="J604" t="s">
        <v>148</v>
      </c>
    </row>
    <row r="605" spans="1:10">
      <c r="A605">
        <v>2025</v>
      </c>
      <c r="B605" t="s">
        <v>92</v>
      </c>
      <c r="C605" s="3">
        <v>45594</v>
      </c>
      <c r="D605" t="s">
        <v>11</v>
      </c>
      <c r="E605" t="s">
        <v>144</v>
      </c>
      <c r="F605">
        <v>193</v>
      </c>
      <c r="G605" t="s">
        <v>145</v>
      </c>
      <c r="H605" s="9" t="s">
        <v>146</v>
      </c>
      <c r="I605" s="9" t="s">
        <v>147</v>
      </c>
      <c r="J605" t="s">
        <v>148</v>
      </c>
    </row>
    <row r="606" spans="1:10">
      <c r="A606">
        <v>2025</v>
      </c>
      <c r="B606" t="s">
        <v>93</v>
      </c>
      <c r="C606" s="3">
        <v>979</v>
      </c>
      <c r="D606" t="s">
        <v>11</v>
      </c>
      <c r="E606" t="s">
        <v>144</v>
      </c>
      <c r="F606">
        <v>161</v>
      </c>
      <c r="G606" t="s">
        <v>145</v>
      </c>
      <c r="H606" s="9" t="s">
        <v>146</v>
      </c>
      <c r="I606" s="9" t="s">
        <v>147</v>
      </c>
      <c r="J606" t="s">
        <v>148</v>
      </c>
    </row>
    <row r="607" spans="1:10">
      <c r="A607">
        <v>2025</v>
      </c>
      <c r="B607" t="s">
        <v>94</v>
      </c>
      <c r="C607" s="3">
        <v>214</v>
      </c>
      <c r="D607" t="s">
        <v>11</v>
      </c>
      <c r="E607" t="s">
        <v>144</v>
      </c>
      <c r="F607">
        <v>161</v>
      </c>
      <c r="G607" t="s">
        <v>145</v>
      </c>
      <c r="H607" s="9" t="s">
        <v>146</v>
      </c>
      <c r="I607" s="9" t="s">
        <v>147</v>
      </c>
      <c r="J607" t="s">
        <v>148</v>
      </c>
    </row>
    <row r="608" spans="1:10">
      <c r="A608">
        <v>2025</v>
      </c>
      <c r="B608" t="s">
        <v>95</v>
      </c>
      <c r="C608" s="3">
        <v>127</v>
      </c>
      <c r="D608" t="s">
        <v>11</v>
      </c>
      <c r="E608" t="s">
        <v>144</v>
      </c>
      <c r="F608">
        <v>161</v>
      </c>
      <c r="G608" t="s">
        <v>145</v>
      </c>
      <c r="H608" s="9" t="s">
        <v>146</v>
      </c>
      <c r="I608" s="9" t="s">
        <v>147</v>
      </c>
      <c r="J608" t="s">
        <v>148</v>
      </c>
    </row>
    <row r="609" spans="1:10">
      <c r="A609">
        <v>2025</v>
      </c>
      <c r="B609" t="s">
        <v>96</v>
      </c>
      <c r="C609" s="3">
        <v>202</v>
      </c>
      <c r="D609" t="s">
        <v>11</v>
      </c>
      <c r="E609" t="s">
        <v>144</v>
      </c>
      <c r="F609">
        <v>160</v>
      </c>
      <c r="G609" t="s">
        <v>145</v>
      </c>
      <c r="H609" s="9" t="s">
        <v>146</v>
      </c>
      <c r="I609" s="9" t="s">
        <v>147</v>
      </c>
      <c r="J609" t="s">
        <v>148</v>
      </c>
    </row>
    <row r="610" spans="1:10">
      <c r="A610">
        <v>2025</v>
      </c>
      <c r="B610" t="s">
        <v>27</v>
      </c>
      <c r="C610" s="3">
        <v>32894</v>
      </c>
      <c r="D610" t="s">
        <v>11</v>
      </c>
      <c r="E610" t="s">
        <v>144</v>
      </c>
      <c r="F610">
        <v>159</v>
      </c>
      <c r="G610" t="s">
        <v>145</v>
      </c>
      <c r="H610" s="9" t="s">
        <v>146</v>
      </c>
      <c r="I610" s="9" t="s">
        <v>147</v>
      </c>
      <c r="J610" t="s">
        <v>148</v>
      </c>
    </row>
    <row r="611" spans="1:10">
      <c r="A611">
        <v>2025</v>
      </c>
      <c r="B611" t="s">
        <v>97</v>
      </c>
      <c r="C611" s="3">
        <v>3025</v>
      </c>
      <c r="D611" t="s">
        <v>11</v>
      </c>
      <c r="E611" t="s">
        <v>144</v>
      </c>
      <c r="F611">
        <v>160</v>
      </c>
      <c r="G611" t="s">
        <v>145</v>
      </c>
      <c r="H611" s="9" t="s">
        <v>146</v>
      </c>
      <c r="I611" s="9" t="s">
        <v>147</v>
      </c>
      <c r="J611" t="s">
        <v>148</v>
      </c>
    </row>
    <row r="612" spans="1:10">
      <c r="A612">
        <v>2025</v>
      </c>
      <c r="B612" t="s">
        <v>98</v>
      </c>
      <c r="C612" s="3">
        <v>987</v>
      </c>
      <c r="D612" t="s">
        <v>11</v>
      </c>
      <c r="E612" t="s">
        <v>144</v>
      </c>
      <c r="F612">
        <v>160</v>
      </c>
      <c r="G612" t="s">
        <v>145</v>
      </c>
      <c r="H612" s="9" t="s">
        <v>146</v>
      </c>
      <c r="I612" s="9" t="s">
        <v>147</v>
      </c>
      <c r="J612" t="s">
        <v>148</v>
      </c>
    </row>
    <row r="613" spans="1:10">
      <c r="A613">
        <v>2025</v>
      </c>
      <c r="B613" t="s">
        <v>99</v>
      </c>
      <c r="C613" s="3">
        <v>171</v>
      </c>
      <c r="D613" t="s">
        <v>11</v>
      </c>
      <c r="E613" t="s">
        <v>144</v>
      </c>
      <c r="F613">
        <v>160</v>
      </c>
      <c r="G613" t="s">
        <v>145</v>
      </c>
      <c r="H613" s="9" t="s">
        <v>146</v>
      </c>
      <c r="I613" s="9" t="s">
        <v>147</v>
      </c>
      <c r="J613" t="s">
        <v>148</v>
      </c>
    </row>
    <row r="614" spans="1:10">
      <c r="A614">
        <v>2025</v>
      </c>
      <c r="B614" t="s">
        <v>28</v>
      </c>
      <c r="C614" s="3">
        <v>618</v>
      </c>
      <c r="D614" t="s">
        <v>11</v>
      </c>
      <c r="E614" t="s">
        <v>144</v>
      </c>
      <c r="F614">
        <v>159</v>
      </c>
      <c r="G614" t="s">
        <v>145</v>
      </c>
      <c r="H614" s="9" t="s">
        <v>146</v>
      </c>
      <c r="I614" s="9" t="s">
        <v>147</v>
      </c>
      <c r="J614" t="s">
        <v>148</v>
      </c>
    </row>
    <row r="615" spans="1:10">
      <c r="A615">
        <v>2025</v>
      </c>
      <c r="B615" t="s">
        <v>100</v>
      </c>
      <c r="C615" s="3">
        <v>126</v>
      </c>
      <c r="D615" t="s">
        <v>11</v>
      </c>
      <c r="E615" t="s">
        <v>144</v>
      </c>
      <c r="F615">
        <v>161</v>
      </c>
      <c r="G615" t="s">
        <v>145</v>
      </c>
      <c r="H615" s="9" t="s">
        <v>146</v>
      </c>
      <c r="I615" s="9" t="s">
        <v>147</v>
      </c>
      <c r="J615" t="s">
        <v>148</v>
      </c>
    </row>
    <row r="616" spans="1:10">
      <c r="A616">
        <v>2025</v>
      </c>
      <c r="B616" t="s">
        <v>101</v>
      </c>
      <c r="C616" s="3">
        <v>160</v>
      </c>
      <c r="D616" t="s">
        <v>11</v>
      </c>
      <c r="E616" t="s">
        <v>144</v>
      </c>
      <c r="F616">
        <v>161</v>
      </c>
      <c r="G616" t="s">
        <v>145</v>
      </c>
      <c r="H616" s="9" t="s">
        <v>146</v>
      </c>
      <c r="I616" s="9" t="s">
        <v>147</v>
      </c>
      <c r="J616" t="s">
        <v>148</v>
      </c>
    </row>
    <row r="617" spans="1:10">
      <c r="A617">
        <v>2025</v>
      </c>
      <c r="B617" t="s">
        <v>102</v>
      </c>
      <c r="C617" s="3">
        <v>495</v>
      </c>
      <c r="D617" t="s">
        <v>11</v>
      </c>
      <c r="E617" t="s">
        <v>144</v>
      </c>
      <c r="F617">
        <v>157</v>
      </c>
      <c r="G617" t="s">
        <v>145</v>
      </c>
      <c r="H617" s="9" t="s">
        <v>146</v>
      </c>
      <c r="I617" s="9" t="s">
        <v>147</v>
      </c>
      <c r="J617" t="s">
        <v>148</v>
      </c>
    </row>
    <row r="618" spans="1:10">
      <c r="A618">
        <v>2025</v>
      </c>
      <c r="B618" t="s">
        <v>29</v>
      </c>
      <c r="C618" s="3">
        <v>91717</v>
      </c>
      <c r="D618" t="s">
        <v>11</v>
      </c>
      <c r="E618" t="s">
        <v>144</v>
      </c>
      <c r="F618">
        <v>159</v>
      </c>
      <c r="G618" t="s">
        <v>145</v>
      </c>
      <c r="H618" s="9" t="s">
        <v>146</v>
      </c>
      <c r="I618" s="9" t="s">
        <v>147</v>
      </c>
      <c r="J618" t="s">
        <v>148</v>
      </c>
    </row>
    <row r="619" spans="1:10">
      <c r="A619">
        <v>2025</v>
      </c>
      <c r="B619" t="s">
        <v>30</v>
      </c>
      <c r="C619" s="3">
        <v>89833</v>
      </c>
      <c r="D619" t="s">
        <v>11</v>
      </c>
      <c r="E619" t="s">
        <v>144</v>
      </c>
      <c r="F619">
        <v>159</v>
      </c>
      <c r="G619" t="s">
        <v>145</v>
      </c>
      <c r="H619" s="9" t="s">
        <v>146</v>
      </c>
      <c r="I619" s="9" t="s">
        <v>147</v>
      </c>
      <c r="J619" t="s">
        <v>148</v>
      </c>
    </row>
    <row r="620" spans="1:10">
      <c r="A620">
        <v>2025</v>
      </c>
      <c r="B620" t="s">
        <v>103</v>
      </c>
      <c r="C620" s="3">
        <v>11660</v>
      </c>
      <c r="D620" t="s">
        <v>11</v>
      </c>
      <c r="E620" t="s">
        <v>144</v>
      </c>
      <c r="F620">
        <v>161</v>
      </c>
      <c r="G620" t="s">
        <v>145</v>
      </c>
      <c r="H620" s="9" t="s">
        <v>146</v>
      </c>
      <c r="I620" s="9" t="s">
        <v>147</v>
      </c>
      <c r="J620" t="s">
        <v>148</v>
      </c>
    </row>
    <row r="621" spans="1:10">
      <c r="A621">
        <v>2025</v>
      </c>
      <c r="B621" t="s">
        <v>104</v>
      </c>
      <c r="C621" s="3">
        <v>18771</v>
      </c>
      <c r="D621" t="s">
        <v>11</v>
      </c>
      <c r="E621" t="s">
        <v>144</v>
      </c>
      <c r="F621">
        <v>161</v>
      </c>
      <c r="G621" t="s">
        <v>145</v>
      </c>
      <c r="H621" s="9" t="s">
        <v>146</v>
      </c>
      <c r="I621" s="9" t="s">
        <v>147</v>
      </c>
      <c r="J621" t="s">
        <v>148</v>
      </c>
    </row>
    <row r="622" spans="1:10">
      <c r="A622">
        <v>2025</v>
      </c>
      <c r="B622" t="s">
        <v>105</v>
      </c>
      <c r="C622" s="3">
        <v>832</v>
      </c>
      <c r="D622" t="s">
        <v>11</v>
      </c>
      <c r="E622" t="s">
        <v>144</v>
      </c>
      <c r="F622">
        <v>161</v>
      </c>
      <c r="G622" t="s">
        <v>145</v>
      </c>
      <c r="H622" s="9" t="s">
        <v>146</v>
      </c>
      <c r="I622" s="9" t="s">
        <v>147</v>
      </c>
      <c r="J622" t="s">
        <v>148</v>
      </c>
    </row>
    <row r="623" spans="1:10">
      <c r="A623">
        <v>2025</v>
      </c>
      <c r="B623" t="s">
        <v>106</v>
      </c>
      <c r="C623" s="3">
        <v>6120</v>
      </c>
      <c r="D623" t="s">
        <v>11</v>
      </c>
      <c r="E623" t="s">
        <v>144</v>
      </c>
      <c r="F623">
        <v>157</v>
      </c>
      <c r="G623" t="s">
        <v>145</v>
      </c>
      <c r="H623" s="9" t="s">
        <v>146</v>
      </c>
      <c r="I623" s="9" t="s">
        <v>147</v>
      </c>
      <c r="J623" t="s">
        <v>148</v>
      </c>
    </row>
    <row r="624" spans="1:10">
      <c r="A624">
        <v>2025</v>
      </c>
      <c r="B624" t="s">
        <v>31</v>
      </c>
      <c r="C624" s="3">
        <v>4066</v>
      </c>
      <c r="D624" t="s">
        <v>11</v>
      </c>
      <c r="E624" t="s">
        <v>144</v>
      </c>
      <c r="F624">
        <v>159</v>
      </c>
      <c r="G624" t="s">
        <v>145</v>
      </c>
      <c r="H624" s="9" t="s">
        <v>146</v>
      </c>
      <c r="I624" s="9" t="s">
        <v>147</v>
      </c>
      <c r="J624" t="s">
        <v>148</v>
      </c>
    </row>
    <row r="625" spans="1:10">
      <c r="A625">
        <v>2025</v>
      </c>
      <c r="B625" t="s">
        <v>107</v>
      </c>
      <c r="C625" s="3">
        <v>47152</v>
      </c>
      <c r="D625" t="s">
        <v>37</v>
      </c>
      <c r="E625" t="s">
        <v>144</v>
      </c>
      <c r="F625">
        <v>193</v>
      </c>
      <c r="G625" t="s">
        <v>145</v>
      </c>
      <c r="H625" s="9" t="s">
        <v>146</v>
      </c>
      <c r="I625" s="9" t="s">
        <v>147</v>
      </c>
      <c r="J625" t="s">
        <v>148</v>
      </c>
    </row>
    <row r="626" spans="1:10">
      <c r="A626">
        <v>2025</v>
      </c>
      <c r="B626" t="s">
        <v>32</v>
      </c>
      <c r="C626" s="3">
        <v>67643</v>
      </c>
      <c r="D626" t="s">
        <v>11</v>
      </c>
      <c r="E626" t="s">
        <v>144</v>
      </c>
      <c r="F626">
        <v>195</v>
      </c>
      <c r="G626" t="s">
        <v>145</v>
      </c>
      <c r="H626" s="9" t="s">
        <v>146</v>
      </c>
      <c r="I626" s="9" t="s">
        <v>147</v>
      </c>
      <c r="J626" t="s">
        <v>148</v>
      </c>
    </row>
    <row r="627" spans="1:10">
      <c r="A627">
        <v>2025</v>
      </c>
      <c r="B627" t="s">
        <v>33</v>
      </c>
      <c r="C627" s="3">
        <v>22431</v>
      </c>
      <c r="D627" t="s">
        <v>11</v>
      </c>
      <c r="E627" t="s">
        <v>144</v>
      </c>
      <c r="F627">
        <v>159</v>
      </c>
      <c r="G627" t="s">
        <v>145</v>
      </c>
      <c r="H627" s="9" t="s">
        <v>146</v>
      </c>
      <c r="I627" s="9" t="s">
        <v>147</v>
      </c>
      <c r="J627" t="s">
        <v>148</v>
      </c>
    </row>
    <row r="628" spans="1:10">
      <c r="A628">
        <v>2025</v>
      </c>
      <c r="B628" t="s">
        <v>108</v>
      </c>
      <c r="C628" s="3">
        <v>47730</v>
      </c>
      <c r="D628" t="s">
        <v>37</v>
      </c>
      <c r="E628" t="s">
        <v>144</v>
      </c>
      <c r="F628">
        <v>193</v>
      </c>
      <c r="G628" t="s">
        <v>145</v>
      </c>
      <c r="H628" s="9" t="s">
        <v>146</v>
      </c>
      <c r="I628" s="9" t="s">
        <v>147</v>
      </c>
      <c r="J628" t="s">
        <v>148</v>
      </c>
    </row>
    <row r="629" spans="1:10">
      <c r="A629">
        <v>2025</v>
      </c>
      <c r="B629" t="s">
        <v>156</v>
      </c>
      <c r="C629" s="3">
        <v>285</v>
      </c>
      <c r="D629" t="s">
        <v>11</v>
      </c>
      <c r="E629" t="s">
        <v>144</v>
      </c>
      <c r="F629">
        <v>162</v>
      </c>
      <c r="G629" t="s">
        <v>145</v>
      </c>
      <c r="H629" s="9" t="s">
        <v>146</v>
      </c>
      <c r="I629" s="9" t="s">
        <v>147</v>
      </c>
      <c r="J629" t="s">
        <v>148</v>
      </c>
    </row>
    <row r="630" spans="1:10">
      <c r="A630">
        <v>2025</v>
      </c>
      <c r="B630" t="s">
        <v>157</v>
      </c>
      <c r="C630" s="3">
        <v>1909</v>
      </c>
      <c r="D630" t="s">
        <v>11</v>
      </c>
      <c r="E630" t="s">
        <v>144</v>
      </c>
      <c r="F630">
        <v>162</v>
      </c>
      <c r="G630" t="s">
        <v>145</v>
      </c>
      <c r="H630" s="9" t="s">
        <v>146</v>
      </c>
      <c r="I630" s="9" t="s">
        <v>147</v>
      </c>
      <c r="J630" t="s">
        <v>148</v>
      </c>
    </row>
    <row r="631" spans="1:10">
      <c r="A631">
        <v>2025</v>
      </c>
      <c r="B631" t="s">
        <v>158</v>
      </c>
      <c r="C631" s="3">
        <v>514</v>
      </c>
      <c r="D631" t="s">
        <v>11</v>
      </c>
      <c r="E631" t="s">
        <v>144</v>
      </c>
      <c r="F631">
        <v>162</v>
      </c>
      <c r="G631" t="s">
        <v>145</v>
      </c>
      <c r="H631" s="9" t="s">
        <v>146</v>
      </c>
      <c r="I631" s="9" t="s">
        <v>147</v>
      </c>
      <c r="J631" t="s">
        <v>148</v>
      </c>
    </row>
    <row r="632" spans="1:10">
      <c r="A632">
        <v>2025</v>
      </c>
      <c r="B632" t="s">
        <v>34</v>
      </c>
      <c r="C632" s="3">
        <v>336</v>
      </c>
      <c r="D632" t="s">
        <v>11</v>
      </c>
      <c r="E632" t="s">
        <v>144</v>
      </c>
      <c r="F632">
        <v>159</v>
      </c>
      <c r="G632" t="s">
        <v>145</v>
      </c>
      <c r="H632" s="9" t="s">
        <v>146</v>
      </c>
      <c r="I632" s="9" t="s">
        <v>147</v>
      </c>
      <c r="J632" t="s">
        <v>148</v>
      </c>
    </row>
    <row r="633" spans="1:10">
      <c r="A633">
        <v>2025</v>
      </c>
      <c r="B633" t="s">
        <v>109</v>
      </c>
      <c r="C633" s="3">
        <v>425</v>
      </c>
      <c r="D633" t="s">
        <v>11</v>
      </c>
      <c r="E633" t="s">
        <v>144</v>
      </c>
      <c r="F633">
        <v>157</v>
      </c>
      <c r="G633" t="s">
        <v>145</v>
      </c>
      <c r="H633" s="9" t="s">
        <v>146</v>
      </c>
      <c r="I633" s="9" t="s">
        <v>147</v>
      </c>
      <c r="J633" t="s">
        <v>148</v>
      </c>
    </row>
    <row r="634" spans="1:10">
      <c r="A634">
        <v>2025</v>
      </c>
      <c r="B634" t="s">
        <v>110</v>
      </c>
      <c r="C634" s="3">
        <v>3959</v>
      </c>
      <c r="D634" t="s">
        <v>11</v>
      </c>
      <c r="E634" t="s">
        <v>144</v>
      </c>
      <c r="F634">
        <v>157</v>
      </c>
      <c r="G634" t="s">
        <v>145</v>
      </c>
      <c r="H634" s="9" t="s">
        <v>146</v>
      </c>
      <c r="I634" s="9" t="s">
        <v>147</v>
      </c>
      <c r="J634" t="s">
        <v>148</v>
      </c>
    </row>
    <row r="635" spans="1:10">
      <c r="A635">
        <v>2025</v>
      </c>
      <c r="B635" t="s">
        <v>159</v>
      </c>
      <c r="C635" s="3">
        <v>2542</v>
      </c>
      <c r="D635" t="s">
        <v>11</v>
      </c>
      <c r="E635" t="s">
        <v>144</v>
      </c>
      <c r="F635">
        <v>159</v>
      </c>
      <c r="G635" t="s">
        <v>145</v>
      </c>
      <c r="H635" s="9" t="s">
        <v>146</v>
      </c>
      <c r="I635" s="9" t="s">
        <v>147</v>
      </c>
      <c r="J635" t="s">
        <v>148</v>
      </c>
    </row>
    <row r="636" spans="1:10">
      <c r="A636">
        <v>2025</v>
      </c>
      <c r="B636" t="s">
        <v>111</v>
      </c>
      <c r="C636" s="3">
        <v>43914</v>
      </c>
      <c r="D636" t="s">
        <v>11</v>
      </c>
      <c r="E636" t="s">
        <v>144</v>
      </c>
      <c r="F636">
        <v>193</v>
      </c>
      <c r="G636" t="s">
        <v>145</v>
      </c>
      <c r="H636" s="9" t="s">
        <v>146</v>
      </c>
      <c r="I636" s="9" t="s">
        <v>147</v>
      </c>
      <c r="J636" t="s">
        <v>148</v>
      </c>
    </row>
    <row r="637" spans="1:10">
      <c r="A637">
        <v>2025</v>
      </c>
      <c r="B637" t="s">
        <v>112</v>
      </c>
      <c r="C637" s="3">
        <v>6288</v>
      </c>
      <c r="D637" t="s">
        <v>11</v>
      </c>
      <c r="E637" t="s">
        <v>144</v>
      </c>
      <c r="F637">
        <v>157</v>
      </c>
      <c r="G637" t="s">
        <v>145</v>
      </c>
      <c r="H637" s="9" t="s">
        <v>146</v>
      </c>
      <c r="I637" s="9" t="s">
        <v>147</v>
      </c>
      <c r="J637" t="s">
        <v>148</v>
      </c>
    </row>
    <row r="638" spans="1:10">
      <c r="A638">
        <v>2025</v>
      </c>
      <c r="B638" t="s">
        <v>35</v>
      </c>
      <c r="C638" s="3">
        <v>59846</v>
      </c>
      <c r="D638" t="s">
        <v>11</v>
      </c>
      <c r="E638" t="s">
        <v>144</v>
      </c>
      <c r="F638">
        <v>195</v>
      </c>
      <c r="G638" t="s">
        <v>145</v>
      </c>
      <c r="H638" s="9" t="s">
        <v>146</v>
      </c>
      <c r="I638" s="9" t="s">
        <v>147</v>
      </c>
      <c r="J638" t="s">
        <v>148</v>
      </c>
    </row>
    <row r="639" spans="1:10">
      <c r="A639">
        <v>2025</v>
      </c>
      <c r="B639" t="s">
        <v>36</v>
      </c>
      <c r="C639" s="3">
        <v>21148</v>
      </c>
      <c r="D639" t="s">
        <v>37</v>
      </c>
      <c r="E639" t="s">
        <v>144</v>
      </c>
      <c r="F639">
        <v>159</v>
      </c>
      <c r="G639" t="s">
        <v>145</v>
      </c>
      <c r="H639" s="9" t="s">
        <v>146</v>
      </c>
      <c r="I639" s="9" t="s">
        <v>147</v>
      </c>
      <c r="J639" t="s">
        <v>148</v>
      </c>
    </row>
    <row r="640" spans="1:10">
      <c r="A640">
        <v>2025</v>
      </c>
      <c r="B640" t="s">
        <v>113</v>
      </c>
      <c r="C640" s="3">
        <v>44387</v>
      </c>
      <c r="D640" t="s">
        <v>11</v>
      </c>
      <c r="E640" t="s">
        <v>144</v>
      </c>
      <c r="F640">
        <v>193</v>
      </c>
      <c r="G640" t="s">
        <v>145</v>
      </c>
      <c r="H640" s="9" t="s">
        <v>146</v>
      </c>
      <c r="I640" s="9" t="s">
        <v>147</v>
      </c>
      <c r="J640" t="s">
        <v>148</v>
      </c>
    </row>
    <row r="641" spans="1:10">
      <c r="A641">
        <v>2025</v>
      </c>
      <c r="B641" t="s">
        <v>114</v>
      </c>
      <c r="C641" s="3">
        <v>27864</v>
      </c>
      <c r="D641" t="s">
        <v>37</v>
      </c>
      <c r="E641" t="s">
        <v>144</v>
      </c>
      <c r="F641">
        <v>160</v>
      </c>
      <c r="G641" t="s">
        <v>145</v>
      </c>
      <c r="H641" s="9" t="s">
        <v>146</v>
      </c>
      <c r="I641" s="9" t="s">
        <v>147</v>
      </c>
      <c r="J641" t="s">
        <v>148</v>
      </c>
    </row>
    <row r="642" spans="1:10">
      <c r="A642">
        <v>2025</v>
      </c>
      <c r="B642" t="s">
        <v>38</v>
      </c>
      <c r="C642" s="3">
        <v>4279</v>
      </c>
      <c r="D642" t="s">
        <v>11</v>
      </c>
      <c r="E642" t="s">
        <v>144</v>
      </c>
      <c r="F642">
        <v>159</v>
      </c>
      <c r="G642" t="s">
        <v>145</v>
      </c>
      <c r="H642" s="9" t="s">
        <v>146</v>
      </c>
      <c r="I642" s="9" t="s">
        <v>147</v>
      </c>
      <c r="J642" t="s">
        <v>148</v>
      </c>
    </row>
    <row r="643" spans="1:10">
      <c r="A643">
        <v>2025</v>
      </c>
      <c r="B643" t="s">
        <v>160</v>
      </c>
      <c r="C643" s="3">
        <v>3</v>
      </c>
      <c r="D643" t="s">
        <v>11</v>
      </c>
      <c r="E643" t="s">
        <v>144</v>
      </c>
      <c r="F643">
        <v>195</v>
      </c>
      <c r="G643" t="s">
        <v>145</v>
      </c>
      <c r="H643" s="9" t="s">
        <v>146</v>
      </c>
      <c r="I643" s="9" t="s">
        <v>147</v>
      </c>
      <c r="J643" t="s">
        <v>148</v>
      </c>
    </row>
    <row r="644" spans="1:10">
      <c r="A644">
        <v>2025</v>
      </c>
      <c r="B644" t="s">
        <v>115</v>
      </c>
      <c r="C644" s="3">
        <v>346</v>
      </c>
      <c r="D644" t="s">
        <v>11</v>
      </c>
      <c r="E644" t="s">
        <v>144</v>
      </c>
      <c r="F644">
        <v>161</v>
      </c>
      <c r="G644" t="s">
        <v>145</v>
      </c>
      <c r="H644" s="9" t="s">
        <v>146</v>
      </c>
      <c r="I644" s="9" t="s">
        <v>147</v>
      </c>
      <c r="J644" t="s">
        <v>148</v>
      </c>
    </row>
    <row r="645" spans="1:10">
      <c r="A645">
        <v>2025</v>
      </c>
      <c r="B645" t="s">
        <v>116</v>
      </c>
      <c r="C645" s="3">
        <v>321</v>
      </c>
      <c r="D645" t="s">
        <v>11</v>
      </c>
      <c r="E645" t="s">
        <v>144</v>
      </c>
      <c r="F645">
        <v>161</v>
      </c>
      <c r="G645" t="s">
        <v>145</v>
      </c>
      <c r="H645" s="9" t="s">
        <v>146</v>
      </c>
      <c r="I645" s="9" t="s">
        <v>147</v>
      </c>
      <c r="J645" t="s">
        <v>148</v>
      </c>
    </row>
    <row r="646" spans="1:10">
      <c r="A646">
        <v>2025</v>
      </c>
      <c r="B646" t="s">
        <v>39</v>
      </c>
      <c r="C646" s="3">
        <v>4115</v>
      </c>
      <c r="D646" t="s">
        <v>11</v>
      </c>
      <c r="E646" t="s">
        <v>144</v>
      </c>
      <c r="F646">
        <v>159</v>
      </c>
      <c r="G646" t="s">
        <v>145</v>
      </c>
      <c r="H646" s="9" t="s">
        <v>146</v>
      </c>
      <c r="I646" s="9" t="s">
        <v>147</v>
      </c>
      <c r="J646" t="s">
        <v>148</v>
      </c>
    </row>
    <row r="647" spans="1:10">
      <c r="A647">
        <v>2025</v>
      </c>
      <c r="B647" t="s">
        <v>40</v>
      </c>
      <c r="C647" s="3">
        <v>7282</v>
      </c>
      <c r="D647" t="s">
        <v>11</v>
      </c>
      <c r="E647" t="s">
        <v>144</v>
      </c>
      <c r="F647">
        <v>159</v>
      </c>
      <c r="G647" t="s">
        <v>145</v>
      </c>
      <c r="H647" s="9" t="s">
        <v>146</v>
      </c>
      <c r="I647" s="9" t="s">
        <v>147</v>
      </c>
      <c r="J647" t="s">
        <v>148</v>
      </c>
    </row>
    <row r="648" spans="1:10">
      <c r="A648">
        <v>2025</v>
      </c>
      <c r="B648" t="s">
        <v>117</v>
      </c>
      <c r="C648" s="3">
        <v>508</v>
      </c>
      <c r="D648" t="s">
        <v>11</v>
      </c>
      <c r="E648" t="s">
        <v>144</v>
      </c>
      <c r="F648">
        <v>157</v>
      </c>
      <c r="G648" t="s">
        <v>145</v>
      </c>
      <c r="H648" s="9" t="s">
        <v>146</v>
      </c>
      <c r="I648" s="9" t="s">
        <v>147</v>
      </c>
      <c r="J648" t="s">
        <v>148</v>
      </c>
    </row>
    <row r="649" spans="1:10">
      <c r="A649">
        <v>2025</v>
      </c>
      <c r="B649" t="s">
        <v>118</v>
      </c>
      <c r="C649" s="3">
        <v>10606</v>
      </c>
      <c r="D649" t="s">
        <v>11</v>
      </c>
      <c r="E649" t="s">
        <v>144</v>
      </c>
      <c r="F649">
        <v>195</v>
      </c>
      <c r="G649" t="s">
        <v>145</v>
      </c>
      <c r="H649" s="9" t="s">
        <v>146</v>
      </c>
      <c r="I649" s="9" t="s">
        <v>147</v>
      </c>
      <c r="J649" t="s">
        <v>148</v>
      </c>
    </row>
    <row r="650" spans="1:10">
      <c r="A650">
        <v>2025</v>
      </c>
      <c r="B650" t="s">
        <v>119</v>
      </c>
      <c r="C650" s="3">
        <v>13307</v>
      </c>
      <c r="D650" t="s">
        <v>11</v>
      </c>
      <c r="E650" t="s">
        <v>144</v>
      </c>
      <c r="F650">
        <v>195</v>
      </c>
      <c r="G650" t="s">
        <v>145</v>
      </c>
      <c r="H650" s="9" t="s">
        <v>146</v>
      </c>
      <c r="I650" s="9" t="s">
        <v>147</v>
      </c>
      <c r="J650" t="s">
        <v>148</v>
      </c>
    </row>
    <row r="651" spans="1:10">
      <c r="A651">
        <v>2025</v>
      </c>
      <c r="B651" t="s">
        <v>41</v>
      </c>
      <c r="C651" s="3">
        <v>10992</v>
      </c>
      <c r="D651" t="s">
        <v>11</v>
      </c>
      <c r="E651" t="s">
        <v>144</v>
      </c>
      <c r="F651">
        <v>159</v>
      </c>
      <c r="G651" t="s">
        <v>145</v>
      </c>
      <c r="H651" s="9" t="s">
        <v>146</v>
      </c>
      <c r="I651" s="9" t="s">
        <v>147</v>
      </c>
      <c r="J651" t="s">
        <v>148</v>
      </c>
    </row>
    <row r="652" spans="1:10">
      <c r="A652">
        <v>2025</v>
      </c>
      <c r="B652" t="s">
        <v>120</v>
      </c>
      <c r="C652" s="3">
        <v>7796</v>
      </c>
      <c r="D652" t="s">
        <v>11</v>
      </c>
      <c r="E652" t="s">
        <v>144</v>
      </c>
      <c r="F652">
        <v>157</v>
      </c>
      <c r="G652" t="s">
        <v>145</v>
      </c>
      <c r="H652" s="9" t="s">
        <v>146</v>
      </c>
      <c r="I652" s="9" t="s">
        <v>147</v>
      </c>
      <c r="J652" t="s">
        <v>148</v>
      </c>
    </row>
    <row r="653" spans="1:10">
      <c r="A653">
        <v>2025</v>
      </c>
      <c r="B653" t="s">
        <v>42</v>
      </c>
      <c r="C653" s="3">
        <v>900</v>
      </c>
      <c r="D653" t="s">
        <v>11</v>
      </c>
      <c r="E653" t="s">
        <v>144</v>
      </c>
      <c r="F653">
        <v>159</v>
      </c>
      <c r="G653" t="s">
        <v>145</v>
      </c>
      <c r="H653" s="9" t="s">
        <v>146</v>
      </c>
      <c r="I653" s="9" t="s">
        <v>147</v>
      </c>
      <c r="J653" t="s">
        <v>148</v>
      </c>
    </row>
    <row r="654" spans="1:10">
      <c r="A654">
        <v>2025</v>
      </c>
      <c r="B654" t="s">
        <v>121</v>
      </c>
      <c r="C654" s="3">
        <v>48</v>
      </c>
      <c r="D654" t="s">
        <v>11</v>
      </c>
      <c r="E654" t="s">
        <v>144</v>
      </c>
      <c r="F654">
        <v>161</v>
      </c>
      <c r="G654" t="s">
        <v>145</v>
      </c>
      <c r="H654" s="9" t="s">
        <v>146</v>
      </c>
      <c r="I654" s="9" t="s">
        <v>147</v>
      </c>
      <c r="J654" t="s">
        <v>148</v>
      </c>
    </row>
    <row r="655" spans="1:10">
      <c r="A655">
        <v>2025</v>
      </c>
      <c r="B655" t="s">
        <v>122</v>
      </c>
      <c r="C655" s="3">
        <v>0</v>
      </c>
      <c r="D655" t="s">
        <v>11</v>
      </c>
      <c r="E655" t="s">
        <v>144</v>
      </c>
      <c r="F655">
        <v>161</v>
      </c>
      <c r="G655" t="s">
        <v>145</v>
      </c>
      <c r="H655" s="9" t="s">
        <v>146</v>
      </c>
      <c r="I655" s="9" t="s">
        <v>147</v>
      </c>
      <c r="J655" t="s">
        <v>148</v>
      </c>
    </row>
    <row r="656" spans="1:10">
      <c r="A656">
        <v>2025</v>
      </c>
      <c r="B656" t="s">
        <v>123</v>
      </c>
      <c r="C656" s="3">
        <v>-48</v>
      </c>
      <c r="D656" t="s">
        <v>11</v>
      </c>
      <c r="E656" t="s">
        <v>144</v>
      </c>
      <c r="F656">
        <v>157</v>
      </c>
      <c r="G656" t="s">
        <v>145</v>
      </c>
      <c r="H656" s="9" t="s">
        <v>146</v>
      </c>
      <c r="I656" s="9" t="s">
        <v>147</v>
      </c>
      <c r="J656" t="s">
        <v>148</v>
      </c>
    </row>
    <row r="657" spans="1:10">
      <c r="A657">
        <v>2025</v>
      </c>
      <c r="B657" t="s">
        <v>43</v>
      </c>
      <c r="C657" s="3">
        <v>529</v>
      </c>
      <c r="D657" t="s">
        <v>11</v>
      </c>
      <c r="E657" t="s">
        <v>144</v>
      </c>
      <c r="F657">
        <v>159</v>
      </c>
      <c r="G657" t="s">
        <v>145</v>
      </c>
      <c r="H657" s="9" t="s">
        <v>146</v>
      </c>
      <c r="I657" s="9" t="s">
        <v>147</v>
      </c>
      <c r="J657" t="s">
        <v>148</v>
      </c>
    </row>
    <row r="658" spans="1:10">
      <c r="A658">
        <v>2025</v>
      </c>
      <c r="B658" t="s">
        <v>124</v>
      </c>
      <c r="C658" s="3">
        <v>56419</v>
      </c>
      <c r="D658" t="s">
        <v>11</v>
      </c>
      <c r="E658" t="s">
        <v>144</v>
      </c>
      <c r="F658">
        <v>195</v>
      </c>
      <c r="G658" t="s">
        <v>145</v>
      </c>
      <c r="H658" s="9" t="s">
        <v>146</v>
      </c>
      <c r="I658" s="9" t="s">
        <v>147</v>
      </c>
      <c r="J658" t="s">
        <v>148</v>
      </c>
    </row>
    <row r="659" spans="1:10">
      <c r="A659">
        <v>2025</v>
      </c>
      <c r="B659" t="s">
        <v>125</v>
      </c>
      <c r="C659" s="3">
        <v>27112</v>
      </c>
      <c r="D659" t="s">
        <v>11</v>
      </c>
      <c r="E659" t="s">
        <v>144</v>
      </c>
      <c r="F659">
        <v>195</v>
      </c>
      <c r="G659" t="s">
        <v>145</v>
      </c>
      <c r="H659" s="9" t="s">
        <v>146</v>
      </c>
      <c r="I659" s="9" t="s">
        <v>147</v>
      </c>
      <c r="J659" t="s">
        <v>148</v>
      </c>
    </row>
    <row r="660" spans="1:10">
      <c r="A660">
        <v>2025</v>
      </c>
      <c r="B660" t="s">
        <v>126</v>
      </c>
      <c r="C660" s="3">
        <v>23913</v>
      </c>
      <c r="D660" t="s">
        <v>11</v>
      </c>
      <c r="E660" t="s">
        <v>144</v>
      </c>
      <c r="F660">
        <v>195</v>
      </c>
      <c r="G660" t="s">
        <v>145</v>
      </c>
      <c r="H660" s="9" t="s">
        <v>146</v>
      </c>
      <c r="I660" s="9" t="s">
        <v>147</v>
      </c>
      <c r="J660" t="s">
        <v>148</v>
      </c>
    </row>
    <row r="661" spans="1:10">
      <c r="A661">
        <v>2025</v>
      </c>
      <c r="B661" t="s">
        <v>127</v>
      </c>
      <c r="C661" s="3">
        <v>228</v>
      </c>
      <c r="D661" t="s">
        <v>11</v>
      </c>
      <c r="E661" t="s">
        <v>144</v>
      </c>
      <c r="F661">
        <v>195</v>
      </c>
      <c r="G661" t="s">
        <v>145</v>
      </c>
      <c r="H661" s="9" t="s">
        <v>146</v>
      </c>
      <c r="I661" s="9" t="s">
        <v>147</v>
      </c>
      <c r="J661" t="s">
        <v>148</v>
      </c>
    </row>
    <row r="662" spans="1:10">
      <c r="A662">
        <v>2025</v>
      </c>
      <c r="B662" t="s">
        <v>128</v>
      </c>
      <c r="C662" s="3">
        <v>-939</v>
      </c>
      <c r="D662" t="s">
        <v>11</v>
      </c>
      <c r="E662" t="s">
        <v>144</v>
      </c>
      <c r="F662">
        <v>195</v>
      </c>
      <c r="G662" t="s">
        <v>145</v>
      </c>
      <c r="H662" s="9" t="s">
        <v>146</v>
      </c>
      <c r="I662" s="9" t="s">
        <v>147</v>
      </c>
      <c r="J662" t="s">
        <v>148</v>
      </c>
    </row>
    <row r="663" spans="1:10">
      <c r="A663">
        <v>2025</v>
      </c>
      <c r="B663" t="s">
        <v>129</v>
      </c>
      <c r="C663" s="3">
        <v>27112</v>
      </c>
      <c r="D663" t="s">
        <v>37</v>
      </c>
      <c r="E663" t="s">
        <v>144</v>
      </c>
      <c r="F663">
        <v>195</v>
      </c>
      <c r="G663" t="s">
        <v>145</v>
      </c>
      <c r="H663" s="9" t="s">
        <v>146</v>
      </c>
      <c r="I663" s="9" t="s">
        <v>147</v>
      </c>
      <c r="J663" t="s">
        <v>148</v>
      </c>
    </row>
    <row r="664" spans="1:10">
      <c r="A664">
        <v>2025</v>
      </c>
      <c r="B664" t="s">
        <v>44</v>
      </c>
      <c r="C664" s="3">
        <v>54931</v>
      </c>
      <c r="D664" t="s">
        <v>11</v>
      </c>
      <c r="E664" t="s">
        <v>144</v>
      </c>
      <c r="F664">
        <v>159</v>
      </c>
      <c r="G664" t="s">
        <v>145</v>
      </c>
      <c r="H664" s="9" t="s">
        <v>146</v>
      </c>
      <c r="I664" s="9" t="s">
        <v>147</v>
      </c>
      <c r="J664" t="s">
        <v>148</v>
      </c>
    </row>
    <row r="665" spans="1:10">
      <c r="A665">
        <v>2025</v>
      </c>
      <c r="B665" t="s">
        <v>130</v>
      </c>
      <c r="C665" s="3">
        <v>0</v>
      </c>
      <c r="D665" t="s">
        <v>11</v>
      </c>
      <c r="E665" t="s">
        <v>144</v>
      </c>
      <c r="F665">
        <v>160</v>
      </c>
      <c r="G665" t="s">
        <v>145</v>
      </c>
      <c r="H665" s="9" t="s">
        <v>146</v>
      </c>
      <c r="I665" s="9" t="s">
        <v>147</v>
      </c>
      <c r="J665" t="s">
        <v>148</v>
      </c>
    </row>
    <row r="666" spans="1:10">
      <c r="A666">
        <v>2025</v>
      </c>
      <c r="B666" t="s">
        <v>131</v>
      </c>
      <c r="C666" s="3">
        <v>3004</v>
      </c>
      <c r="D666" t="s">
        <v>11</v>
      </c>
      <c r="E666" t="s">
        <v>144</v>
      </c>
      <c r="F666">
        <v>161</v>
      </c>
      <c r="G666" t="s">
        <v>145</v>
      </c>
      <c r="H666" s="9" t="s">
        <v>146</v>
      </c>
      <c r="I666" s="9" t="s">
        <v>147</v>
      </c>
      <c r="J666" t="s">
        <v>148</v>
      </c>
    </row>
    <row r="667" spans="1:10">
      <c r="A667">
        <v>2025</v>
      </c>
      <c r="B667" t="s">
        <v>45</v>
      </c>
      <c r="C667" s="3">
        <v>5716</v>
      </c>
      <c r="D667" t="s">
        <v>11</v>
      </c>
      <c r="E667" t="s">
        <v>144</v>
      </c>
      <c r="F667">
        <v>159</v>
      </c>
      <c r="G667" t="s">
        <v>145</v>
      </c>
      <c r="H667" s="9" t="s">
        <v>146</v>
      </c>
      <c r="I667" s="9" t="s">
        <v>147</v>
      </c>
      <c r="J667" t="s">
        <v>148</v>
      </c>
    </row>
    <row r="668" spans="1:10">
      <c r="A668">
        <v>2025</v>
      </c>
      <c r="B668" t="s">
        <v>132</v>
      </c>
      <c r="C668" s="3">
        <v>-945</v>
      </c>
      <c r="D668" t="s">
        <v>11</v>
      </c>
      <c r="E668" t="s">
        <v>144</v>
      </c>
      <c r="F668">
        <v>161</v>
      </c>
      <c r="G668" t="s">
        <v>145</v>
      </c>
      <c r="H668" s="9" t="s">
        <v>146</v>
      </c>
      <c r="I668" s="9" t="s">
        <v>147</v>
      </c>
      <c r="J668" t="s">
        <v>148</v>
      </c>
    </row>
    <row r="669" spans="1:10">
      <c r="A669">
        <v>2025</v>
      </c>
      <c r="B669" t="s">
        <v>133</v>
      </c>
      <c r="C669" s="3">
        <v>256</v>
      </c>
      <c r="D669" t="s">
        <v>11</v>
      </c>
      <c r="E669" t="s">
        <v>144</v>
      </c>
      <c r="F669">
        <v>160</v>
      </c>
      <c r="G669" t="s">
        <v>145</v>
      </c>
      <c r="H669" s="9" t="s">
        <v>146</v>
      </c>
      <c r="I669" s="9" t="s">
        <v>147</v>
      </c>
      <c r="J669" t="s">
        <v>148</v>
      </c>
    </row>
    <row r="670" spans="1:10">
      <c r="A670">
        <v>2025</v>
      </c>
      <c r="B670" t="s">
        <v>134</v>
      </c>
      <c r="C670" s="3">
        <v>1508</v>
      </c>
      <c r="D670" t="s">
        <v>11</v>
      </c>
      <c r="E670" t="s">
        <v>144</v>
      </c>
      <c r="F670">
        <v>157</v>
      </c>
      <c r="G670" t="s">
        <v>145</v>
      </c>
      <c r="H670" s="9" t="s">
        <v>146</v>
      </c>
      <c r="I670" s="9" t="s">
        <v>147</v>
      </c>
      <c r="J670" t="s">
        <v>148</v>
      </c>
    </row>
    <row r="671" spans="1:10">
      <c r="A671">
        <v>2025</v>
      </c>
      <c r="B671" t="s">
        <v>46</v>
      </c>
      <c r="C671" s="3">
        <v>143708</v>
      </c>
      <c r="D671" t="s">
        <v>11</v>
      </c>
      <c r="E671" t="s">
        <v>144</v>
      </c>
      <c r="F671">
        <v>159</v>
      </c>
      <c r="G671" t="s">
        <v>145</v>
      </c>
      <c r="H671" s="9" t="s">
        <v>146</v>
      </c>
      <c r="I671" s="9" t="s">
        <v>147</v>
      </c>
      <c r="J671" t="s">
        <v>148</v>
      </c>
    </row>
    <row r="672" spans="1:10">
      <c r="A672">
        <v>2025</v>
      </c>
      <c r="B672" t="s">
        <v>135</v>
      </c>
      <c r="C672" s="3">
        <v>41032</v>
      </c>
      <c r="D672" t="s">
        <v>11</v>
      </c>
      <c r="E672" t="s">
        <v>144</v>
      </c>
      <c r="F672">
        <v>157</v>
      </c>
      <c r="G672" t="s">
        <v>145</v>
      </c>
      <c r="H672" s="9" t="s">
        <v>146</v>
      </c>
      <c r="I672" s="9" t="s">
        <v>147</v>
      </c>
      <c r="J672" t="s">
        <v>148</v>
      </c>
    </row>
    <row r="673" spans="1:10">
      <c r="A673">
        <v>2025</v>
      </c>
      <c r="B673" t="s">
        <v>47</v>
      </c>
      <c r="C673" s="3">
        <v>101182</v>
      </c>
      <c r="D673" t="s">
        <v>11</v>
      </c>
      <c r="E673" t="s">
        <v>144</v>
      </c>
      <c r="F673">
        <v>159</v>
      </c>
      <c r="G673" t="s">
        <v>145</v>
      </c>
      <c r="H673" s="9" t="s">
        <v>146</v>
      </c>
      <c r="I673" s="9" t="s">
        <v>147</v>
      </c>
      <c r="J673" t="s">
        <v>148</v>
      </c>
    </row>
    <row r="674" spans="1:10">
      <c r="A674">
        <v>2025</v>
      </c>
      <c r="B674" t="s">
        <v>48</v>
      </c>
      <c r="C674" s="3">
        <v>110814</v>
      </c>
      <c r="D674" t="s">
        <v>11</v>
      </c>
      <c r="E674" t="s">
        <v>144</v>
      </c>
      <c r="F674">
        <v>159</v>
      </c>
      <c r="G674" t="s">
        <v>145</v>
      </c>
      <c r="H674" s="9" t="s">
        <v>146</v>
      </c>
      <c r="I674" s="9" t="s">
        <v>147</v>
      </c>
      <c r="J674" t="s">
        <v>148</v>
      </c>
    </row>
    <row r="675" spans="1:10">
      <c r="A675">
        <v>2025</v>
      </c>
      <c r="B675" t="s">
        <v>136</v>
      </c>
      <c r="C675" s="3">
        <v>2467</v>
      </c>
      <c r="D675" t="s">
        <v>11</v>
      </c>
      <c r="E675" t="s">
        <v>144</v>
      </c>
      <c r="F675">
        <v>160</v>
      </c>
      <c r="G675" t="s">
        <v>145</v>
      </c>
      <c r="H675" s="9" t="s">
        <v>146</v>
      </c>
      <c r="I675" s="9" t="s">
        <v>147</v>
      </c>
      <c r="J675" t="s">
        <v>148</v>
      </c>
    </row>
    <row r="676" spans="1:10">
      <c r="A676">
        <v>2025</v>
      </c>
      <c r="B676" t="s">
        <v>49</v>
      </c>
      <c r="C676" s="3">
        <v>7886</v>
      </c>
      <c r="D676" t="s">
        <v>11</v>
      </c>
      <c r="E676" t="s">
        <v>144</v>
      </c>
      <c r="F676">
        <v>159</v>
      </c>
      <c r="G676" t="s">
        <v>145</v>
      </c>
      <c r="H676" s="9" t="s">
        <v>146</v>
      </c>
      <c r="I676" s="9" t="s">
        <v>147</v>
      </c>
      <c r="J676" t="s">
        <v>148</v>
      </c>
    </row>
    <row r="677" spans="1:10">
      <c r="A677">
        <v>2025</v>
      </c>
      <c r="B677" t="s">
        <v>137</v>
      </c>
      <c r="C677" s="3">
        <v>48828</v>
      </c>
      <c r="D677" t="s">
        <v>11</v>
      </c>
      <c r="E677" t="s">
        <v>144</v>
      </c>
      <c r="F677">
        <v>157</v>
      </c>
      <c r="G677" t="s">
        <v>145</v>
      </c>
      <c r="H677" s="9" t="s">
        <v>146</v>
      </c>
      <c r="I677" s="9" t="s">
        <v>147</v>
      </c>
      <c r="J677" t="s">
        <v>148</v>
      </c>
    </row>
    <row r="678" spans="1:10">
      <c r="A678">
        <v>2025</v>
      </c>
      <c r="B678" t="s">
        <v>50</v>
      </c>
      <c r="C678" s="3">
        <v>-45447</v>
      </c>
      <c r="D678" t="s">
        <v>11</v>
      </c>
      <c r="E678" t="s">
        <v>144</v>
      </c>
      <c r="F678">
        <v>159</v>
      </c>
      <c r="G678" t="s">
        <v>145</v>
      </c>
      <c r="H678" s="9" t="s">
        <v>146</v>
      </c>
      <c r="I678" s="9" t="s">
        <v>147</v>
      </c>
      <c r="J678" t="s">
        <v>148</v>
      </c>
    </row>
    <row r="679" spans="1:10">
      <c r="A679">
        <v>2025</v>
      </c>
      <c r="B679" t="s">
        <v>51</v>
      </c>
      <c r="C679" s="3">
        <v>7797</v>
      </c>
      <c r="D679" t="s">
        <v>11</v>
      </c>
      <c r="E679" t="s">
        <v>144</v>
      </c>
      <c r="F679">
        <v>195</v>
      </c>
      <c r="G679" t="s">
        <v>145</v>
      </c>
      <c r="H679" s="9" t="s">
        <v>146</v>
      </c>
      <c r="I679" s="9" t="s">
        <v>147</v>
      </c>
      <c r="J679" t="s">
        <v>148</v>
      </c>
    </row>
  </sheetData>
  <hyperlinks>
    <hyperlink ref="H2" r:id="rId1"/>
    <hyperlink ref="I2" r:id="rId2"/>
    <hyperlink ref="H3" r:id="rId3"/>
    <hyperlink ref="I3" r:id="rId4"/>
    <hyperlink ref="H4" r:id="rId5"/>
    <hyperlink ref="I4" r:id="rId6"/>
    <hyperlink ref="H5" r:id="rId7"/>
    <hyperlink ref="I5" r:id="rId8"/>
    <hyperlink ref="H6" r:id="rId9"/>
    <hyperlink ref="I6" r:id="rId10"/>
    <hyperlink ref="H7" r:id="rId11"/>
    <hyperlink ref="I7" r:id="rId12"/>
    <hyperlink ref="H8" r:id="rId13"/>
    <hyperlink ref="I8" r:id="rId14"/>
    <hyperlink ref="H9" r:id="rId15"/>
    <hyperlink ref="I9" r:id="rId16"/>
    <hyperlink ref="H10" r:id="rId17"/>
    <hyperlink ref="I10" r:id="rId18"/>
    <hyperlink ref="H11" r:id="rId19"/>
    <hyperlink ref="I11" r:id="rId20"/>
    <hyperlink ref="H12" r:id="rId21"/>
    <hyperlink ref="I12" r:id="rId22"/>
    <hyperlink ref="H13" r:id="rId23"/>
    <hyperlink ref="I13" r:id="rId24"/>
    <hyperlink ref="H14" r:id="rId25"/>
    <hyperlink ref="I14" r:id="rId26"/>
    <hyperlink ref="H15" r:id="rId27"/>
    <hyperlink ref="I15" r:id="rId28"/>
    <hyperlink ref="H16" r:id="rId29"/>
    <hyperlink ref="I16" r:id="rId30"/>
    <hyperlink ref="H17" r:id="rId31"/>
    <hyperlink ref="I17" r:id="rId32"/>
    <hyperlink ref="H18" r:id="rId33"/>
    <hyperlink ref="I18" r:id="rId34"/>
    <hyperlink ref="H19" r:id="rId35"/>
    <hyperlink ref="I19" r:id="rId36"/>
    <hyperlink ref="H20" r:id="rId37"/>
    <hyperlink ref="I20" r:id="rId38"/>
    <hyperlink ref="H21" r:id="rId39"/>
    <hyperlink ref="I21" r:id="rId40"/>
    <hyperlink ref="H22" r:id="rId41"/>
    <hyperlink ref="I22" r:id="rId42"/>
    <hyperlink ref="H23" r:id="rId43"/>
    <hyperlink ref="I23" r:id="rId44"/>
    <hyperlink ref="H24" r:id="rId45"/>
    <hyperlink ref="I24" r:id="rId46"/>
    <hyperlink ref="H25" r:id="rId47"/>
    <hyperlink ref="I25" r:id="rId48"/>
    <hyperlink ref="H26" r:id="rId49"/>
    <hyperlink ref="I26" r:id="rId50"/>
    <hyperlink ref="H27" r:id="rId51"/>
    <hyperlink ref="I27" r:id="rId52"/>
    <hyperlink ref="H28" r:id="rId53"/>
    <hyperlink ref="I28" r:id="rId54"/>
    <hyperlink ref="H29" r:id="rId55"/>
    <hyperlink ref="I29" r:id="rId56"/>
    <hyperlink ref="H30" r:id="rId57"/>
    <hyperlink ref="I30" r:id="rId58"/>
    <hyperlink ref="H31" r:id="rId59"/>
    <hyperlink ref="I31" r:id="rId60"/>
    <hyperlink ref="H32" r:id="rId61"/>
    <hyperlink ref="I32" r:id="rId62"/>
    <hyperlink ref="H33" r:id="rId63"/>
    <hyperlink ref="I33" r:id="rId64"/>
    <hyperlink ref="H34" r:id="rId65"/>
    <hyperlink ref="I34" r:id="rId66"/>
    <hyperlink ref="H35" r:id="rId67"/>
    <hyperlink ref="I35" r:id="rId68"/>
    <hyperlink ref="H36" r:id="rId69"/>
    <hyperlink ref="I36" r:id="rId70"/>
    <hyperlink ref="H37" r:id="rId71"/>
    <hyperlink ref="I37" r:id="rId72"/>
    <hyperlink ref="H38" r:id="rId73"/>
    <hyperlink ref="I38" r:id="rId74"/>
    <hyperlink ref="H39" r:id="rId75"/>
    <hyperlink ref="I39" r:id="rId76"/>
    <hyperlink ref="H40" r:id="rId77"/>
    <hyperlink ref="I40" r:id="rId78"/>
    <hyperlink ref="H41" r:id="rId79"/>
    <hyperlink ref="I41" r:id="rId80"/>
    <hyperlink ref="H42" r:id="rId81"/>
    <hyperlink ref="I42" r:id="rId82"/>
    <hyperlink ref="H43" r:id="rId83"/>
    <hyperlink ref="I43" r:id="rId84"/>
    <hyperlink ref="H44" r:id="rId85"/>
    <hyperlink ref="I44" r:id="rId86"/>
    <hyperlink ref="H45" r:id="rId87"/>
    <hyperlink ref="I45" r:id="rId88"/>
    <hyperlink ref="H46" r:id="rId89"/>
    <hyperlink ref="I46" r:id="rId90"/>
    <hyperlink ref="H47" r:id="rId91"/>
    <hyperlink ref="I47" r:id="rId92"/>
    <hyperlink ref="H48" r:id="rId93"/>
    <hyperlink ref="I48" r:id="rId94"/>
    <hyperlink ref="H49" r:id="rId95"/>
    <hyperlink ref="I49" r:id="rId96"/>
    <hyperlink ref="H50" r:id="rId97"/>
    <hyperlink ref="I50" r:id="rId98"/>
    <hyperlink ref="H51" r:id="rId99"/>
    <hyperlink ref="I51" r:id="rId100"/>
    <hyperlink ref="H52" r:id="rId101"/>
    <hyperlink ref="I52" r:id="rId102"/>
    <hyperlink ref="H53" r:id="rId103"/>
    <hyperlink ref="I53" r:id="rId104"/>
    <hyperlink ref="H54" r:id="rId105"/>
    <hyperlink ref="I54" r:id="rId106"/>
    <hyperlink ref="H55" r:id="rId107"/>
    <hyperlink ref="I55" r:id="rId108"/>
    <hyperlink ref="H56" r:id="rId109"/>
    <hyperlink ref="I56" r:id="rId110"/>
    <hyperlink ref="H57" r:id="rId111"/>
    <hyperlink ref="I57" r:id="rId112"/>
    <hyperlink ref="H58" r:id="rId113"/>
    <hyperlink ref="I58" r:id="rId114"/>
    <hyperlink ref="H59" r:id="rId115"/>
    <hyperlink ref="I59" r:id="rId116"/>
    <hyperlink ref="H60" r:id="rId117"/>
    <hyperlink ref="I60" r:id="rId118"/>
    <hyperlink ref="H61" r:id="rId119"/>
    <hyperlink ref="I61" r:id="rId120"/>
    <hyperlink ref="H62" r:id="rId121"/>
    <hyperlink ref="I62" r:id="rId122"/>
    <hyperlink ref="H63" r:id="rId123"/>
    <hyperlink ref="I63" r:id="rId124"/>
    <hyperlink ref="H64" r:id="rId125"/>
    <hyperlink ref="I64" r:id="rId126"/>
    <hyperlink ref="H65" r:id="rId127"/>
    <hyperlink ref="I65" r:id="rId128"/>
    <hyperlink ref="H66" r:id="rId129"/>
    <hyperlink ref="I66" r:id="rId130"/>
    <hyperlink ref="H67" r:id="rId131"/>
    <hyperlink ref="I67" r:id="rId132"/>
    <hyperlink ref="H68" r:id="rId133"/>
    <hyperlink ref="I68" r:id="rId134"/>
    <hyperlink ref="H69" r:id="rId135"/>
    <hyperlink ref="I69" r:id="rId136"/>
    <hyperlink ref="H70" r:id="rId137"/>
    <hyperlink ref="I70" r:id="rId138"/>
    <hyperlink ref="H71" r:id="rId139"/>
    <hyperlink ref="I71" r:id="rId140"/>
    <hyperlink ref="H72" r:id="rId141"/>
    <hyperlink ref="I72" r:id="rId142"/>
    <hyperlink ref="H73" r:id="rId143"/>
    <hyperlink ref="I73" r:id="rId144"/>
    <hyperlink ref="H74" r:id="rId145"/>
    <hyperlink ref="I74" r:id="rId146"/>
    <hyperlink ref="H75" r:id="rId147"/>
    <hyperlink ref="I75" r:id="rId148"/>
    <hyperlink ref="H76" r:id="rId149"/>
    <hyperlink ref="I76" r:id="rId150"/>
    <hyperlink ref="H77" r:id="rId151"/>
    <hyperlink ref="I77" r:id="rId152"/>
    <hyperlink ref="H78" r:id="rId153"/>
    <hyperlink ref="I78" r:id="rId154"/>
    <hyperlink ref="H79" r:id="rId155"/>
    <hyperlink ref="I79" r:id="rId156"/>
    <hyperlink ref="H80" r:id="rId157"/>
    <hyperlink ref="I80" r:id="rId158"/>
    <hyperlink ref="H81" r:id="rId159"/>
    <hyperlink ref="I81" r:id="rId160"/>
    <hyperlink ref="H82" r:id="rId161"/>
    <hyperlink ref="I82" r:id="rId162"/>
    <hyperlink ref="H83" r:id="rId163"/>
    <hyperlink ref="I83" r:id="rId164"/>
    <hyperlink ref="H84" r:id="rId165"/>
    <hyperlink ref="I84" r:id="rId166"/>
    <hyperlink ref="H85" r:id="rId167"/>
    <hyperlink ref="I85" r:id="rId168"/>
    <hyperlink ref="H86" r:id="rId169"/>
    <hyperlink ref="I86" r:id="rId170"/>
    <hyperlink ref="H87" r:id="rId171"/>
    <hyperlink ref="I87" r:id="rId172"/>
    <hyperlink ref="H88" r:id="rId173"/>
    <hyperlink ref="I88" r:id="rId174"/>
    <hyperlink ref="H89" r:id="rId175"/>
    <hyperlink ref="I89" r:id="rId176"/>
    <hyperlink ref="H90" r:id="rId177"/>
    <hyperlink ref="I90" r:id="rId178"/>
    <hyperlink ref="H91" r:id="rId179"/>
    <hyperlink ref="I91" r:id="rId180"/>
    <hyperlink ref="H92" r:id="rId181"/>
    <hyperlink ref="I92" r:id="rId182"/>
    <hyperlink ref="H93" r:id="rId183"/>
    <hyperlink ref="I93" r:id="rId184"/>
    <hyperlink ref="H94" r:id="rId185"/>
    <hyperlink ref="I94" r:id="rId186"/>
    <hyperlink ref="H95" r:id="rId187"/>
    <hyperlink ref="I95" r:id="rId188"/>
    <hyperlink ref="H96" r:id="rId189"/>
    <hyperlink ref="I96" r:id="rId190"/>
    <hyperlink ref="H97" r:id="rId191"/>
    <hyperlink ref="I97" r:id="rId192"/>
    <hyperlink ref="H98" r:id="rId193"/>
    <hyperlink ref="I98" r:id="rId194"/>
    <hyperlink ref="H99" r:id="rId195"/>
    <hyperlink ref="I99" r:id="rId196"/>
    <hyperlink ref="H100" r:id="rId197"/>
    <hyperlink ref="I100" r:id="rId198"/>
    <hyperlink ref="H101" r:id="rId199"/>
    <hyperlink ref="I101" r:id="rId200"/>
    <hyperlink ref="H102" r:id="rId201"/>
    <hyperlink ref="I102" r:id="rId202"/>
    <hyperlink ref="H103" r:id="rId203"/>
    <hyperlink ref="I103" r:id="rId204"/>
    <hyperlink ref="H104" r:id="rId205"/>
    <hyperlink ref="I104" r:id="rId206"/>
    <hyperlink ref="H105" r:id="rId207"/>
    <hyperlink ref="I105" r:id="rId208"/>
    <hyperlink ref="H106" r:id="rId209"/>
    <hyperlink ref="I106" r:id="rId210"/>
    <hyperlink ref="H107" r:id="rId211"/>
    <hyperlink ref="I107" r:id="rId212"/>
    <hyperlink ref="H108" r:id="rId213"/>
    <hyperlink ref="I108" r:id="rId214"/>
    <hyperlink ref="H109" r:id="rId215"/>
    <hyperlink ref="I109" r:id="rId216"/>
    <hyperlink ref="H110" r:id="rId217"/>
    <hyperlink ref="I110" r:id="rId218"/>
    <hyperlink ref="H111" r:id="rId219"/>
    <hyperlink ref="I111" r:id="rId220"/>
    <hyperlink ref="H112" r:id="rId221"/>
    <hyperlink ref="I112" r:id="rId222"/>
    <hyperlink ref="H113" r:id="rId223"/>
    <hyperlink ref="I113" r:id="rId224"/>
    <hyperlink ref="H114" r:id="rId225"/>
    <hyperlink ref="I114" r:id="rId226"/>
    <hyperlink ref="H115" r:id="rId227"/>
    <hyperlink ref="I115" r:id="rId228"/>
    <hyperlink ref="H116" r:id="rId229"/>
    <hyperlink ref="I116" r:id="rId230"/>
    <hyperlink ref="H117" r:id="rId231"/>
    <hyperlink ref="I117" r:id="rId232"/>
    <hyperlink ref="H118" r:id="rId233"/>
    <hyperlink ref="I118" r:id="rId234"/>
    <hyperlink ref="H119" r:id="rId235"/>
    <hyperlink ref="I119" r:id="rId236"/>
    <hyperlink ref="H120" r:id="rId237"/>
    <hyperlink ref="I120" r:id="rId238"/>
    <hyperlink ref="H121" r:id="rId239"/>
    <hyperlink ref="I121" r:id="rId240"/>
    <hyperlink ref="H122" r:id="rId241"/>
    <hyperlink ref="I122" r:id="rId242"/>
    <hyperlink ref="H123" r:id="rId243"/>
    <hyperlink ref="I123" r:id="rId244"/>
    <hyperlink ref="H124" r:id="rId245"/>
    <hyperlink ref="I124" r:id="rId246"/>
    <hyperlink ref="H125" r:id="rId247"/>
    <hyperlink ref="I125" r:id="rId248"/>
    <hyperlink ref="H126" r:id="rId249"/>
    <hyperlink ref="I126" r:id="rId250"/>
    <hyperlink ref="H127" r:id="rId251"/>
    <hyperlink ref="I127" r:id="rId252"/>
    <hyperlink ref="H128" r:id="rId253"/>
    <hyperlink ref="I128" r:id="rId254"/>
    <hyperlink ref="H129" r:id="rId255"/>
    <hyperlink ref="I129" r:id="rId256"/>
    <hyperlink ref="H130" r:id="rId257"/>
    <hyperlink ref="I130" r:id="rId258"/>
    <hyperlink ref="H131" r:id="rId259"/>
    <hyperlink ref="I131" r:id="rId260"/>
    <hyperlink ref="H132" r:id="rId261"/>
    <hyperlink ref="I132" r:id="rId262"/>
    <hyperlink ref="H133" r:id="rId263"/>
    <hyperlink ref="I133" r:id="rId264"/>
    <hyperlink ref="H134" r:id="rId265"/>
    <hyperlink ref="I134" r:id="rId266"/>
    <hyperlink ref="H135" r:id="rId267"/>
    <hyperlink ref="I135" r:id="rId268"/>
    <hyperlink ref="H136" r:id="rId269"/>
    <hyperlink ref="I136" r:id="rId270"/>
    <hyperlink ref="H137" r:id="rId271"/>
    <hyperlink ref="I137" r:id="rId272"/>
    <hyperlink ref="H138" r:id="rId273"/>
    <hyperlink ref="I138" r:id="rId274"/>
    <hyperlink ref="H139" r:id="rId275"/>
    <hyperlink ref="I139" r:id="rId276"/>
    <hyperlink ref="H140" r:id="rId277"/>
    <hyperlink ref="I140" r:id="rId278"/>
    <hyperlink ref="H141" r:id="rId279"/>
    <hyperlink ref="I141" r:id="rId280"/>
    <hyperlink ref="H142" r:id="rId281"/>
    <hyperlink ref="I142" r:id="rId282"/>
    <hyperlink ref="H143" r:id="rId283"/>
    <hyperlink ref="I143" r:id="rId284"/>
    <hyperlink ref="H144" r:id="rId285"/>
    <hyperlink ref="I144" r:id="rId286"/>
    <hyperlink ref="H145" r:id="rId287"/>
    <hyperlink ref="I145" r:id="rId288"/>
    <hyperlink ref="H146" r:id="rId289"/>
    <hyperlink ref="I146" r:id="rId290"/>
    <hyperlink ref="H147" r:id="rId291"/>
    <hyperlink ref="I147" r:id="rId292"/>
    <hyperlink ref="H148" r:id="rId293"/>
    <hyperlink ref="I148" r:id="rId294"/>
    <hyperlink ref="H149" r:id="rId295"/>
    <hyperlink ref="I149" r:id="rId296"/>
    <hyperlink ref="H150" r:id="rId297"/>
    <hyperlink ref="I150" r:id="rId298"/>
    <hyperlink ref="H151" r:id="rId299"/>
    <hyperlink ref="I151" r:id="rId300"/>
    <hyperlink ref="H152" r:id="rId301"/>
    <hyperlink ref="I152" r:id="rId302"/>
    <hyperlink ref="H153" r:id="rId303"/>
    <hyperlink ref="I153" r:id="rId304"/>
    <hyperlink ref="H154" r:id="rId305"/>
    <hyperlink ref="I154" r:id="rId306"/>
    <hyperlink ref="H155" r:id="rId307"/>
    <hyperlink ref="I155" r:id="rId308"/>
    <hyperlink ref="H156" r:id="rId309"/>
    <hyperlink ref="I156" r:id="rId310"/>
    <hyperlink ref="H157" r:id="rId311"/>
    <hyperlink ref="I157" r:id="rId312"/>
    <hyperlink ref="H158" r:id="rId313"/>
    <hyperlink ref="I158" r:id="rId314"/>
    <hyperlink ref="H159" r:id="rId315"/>
    <hyperlink ref="I159" r:id="rId316"/>
    <hyperlink ref="H160" r:id="rId317"/>
    <hyperlink ref="I160" r:id="rId318"/>
    <hyperlink ref="H161" r:id="rId319"/>
    <hyperlink ref="I161" r:id="rId320"/>
    <hyperlink ref="H162" r:id="rId321"/>
    <hyperlink ref="I162" r:id="rId322"/>
    <hyperlink ref="H163" r:id="rId323"/>
    <hyperlink ref="I163" r:id="rId324"/>
    <hyperlink ref="H164" r:id="rId325"/>
    <hyperlink ref="I164" r:id="rId326"/>
    <hyperlink ref="H165" r:id="rId327"/>
    <hyperlink ref="I165" r:id="rId328"/>
    <hyperlink ref="H166" r:id="rId329"/>
    <hyperlink ref="I166" r:id="rId330"/>
    <hyperlink ref="H167" r:id="rId331"/>
    <hyperlink ref="I167" r:id="rId332"/>
    <hyperlink ref="H168" r:id="rId333"/>
    <hyperlink ref="I168" r:id="rId334"/>
    <hyperlink ref="H169" r:id="rId335"/>
    <hyperlink ref="I169" r:id="rId336"/>
    <hyperlink ref="H170" r:id="rId337"/>
    <hyperlink ref="I170" r:id="rId338"/>
    <hyperlink ref="H171" r:id="rId339"/>
    <hyperlink ref="I171" r:id="rId340"/>
    <hyperlink ref="H172" r:id="rId341"/>
    <hyperlink ref="I172" r:id="rId342"/>
    <hyperlink ref="H173" r:id="rId343"/>
    <hyperlink ref="I173" r:id="rId344"/>
    <hyperlink ref="H174" r:id="rId345"/>
    <hyperlink ref="I174" r:id="rId346"/>
    <hyperlink ref="H175" r:id="rId347"/>
    <hyperlink ref="I175" r:id="rId348"/>
    <hyperlink ref="H176" r:id="rId349"/>
    <hyperlink ref="I176" r:id="rId350"/>
    <hyperlink ref="H177" r:id="rId351"/>
    <hyperlink ref="I177" r:id="rId352"/>
    <hyperlink ref="H178" r:id="rId353"/>
    <hyperlink ref="I178" r:id="rId354"/>
    <hyperlink ref="H179" r:id="rId355"/>
    <hyperlink ref="I179" r:id="rId356"/>
    <hyperlink ref="H180" r:id="rId357"/>
    <hyperlink ref="I180" r:id="rId358"/>
    <hyperlink ref="H181" r:id="rId359"/>
    <hyperlink ref="I181" r:id="rId360"/>
    <hyperlink ref="H182" r:id="rId361"/>
    <hyperlink ref="I182" r:id="rId362"/>
    <hyperlink ref="H183" r:id="rId363"/>
    <hyperlink ref="I183" r:id="rId364"/>
    <hyperlink ref="H184" r:id="rId365"/>
    <hyperlink ref="I184" r:id="rId366"/>
    <hyperlink ref="H185" r:id="rId367"/>
    <hyperlink ref="I185" r:id="rId368"/>
    <hyperlink ref="H186" r:id="rId369"/>
    <hyperlink ref="I186" r:id="rId370"/>
    <hyperlink ref="H187" r:id="rId371"/>
    <hyperlink ref="I187" r:id="rId372"/>
    <hyperlink ref="H188" r:id="rId373"/>
    <hyperlink ref="I188" r:id="rId374"/>
    <hyperlink ref="H189" r:id="rId375"/>
    <hyperlink ref="I189" r:id="rId376"/>
    <hyperlink ref="H190" r:id="rId377"/>
    <hyperlink ref="I190" r:id="rId378"/>
    <hyperlink ref="H191" r:id="rId379"/>
    <hyperlink ref="I191" r:id="rId380"/>
    <hyperlink ref="H192" r:id="rId381"/>
    <hyperlink ref="I192" r:id="rId382"/>
    <hyperlink ref="H193" r:id="rId383"/>
    <hyperlink ref="I193" r:id="rId384"/>
    <hyperlink ref="H194" r:id="rId385"/>
    <hyperlink ref="I194" r:id="rId386"/>
    <hyperlink ref="H195" r:id="rId387"/>
    <hyperlink ref="I195" r:id="rId388"/>
    <hyperlink ref="H196" r:id="rId389"/>
    <hyperlink ref="I196" r:id="rId390"/>
    <hyperlink ref="H197" r:id="rId391"/>
    <hyperlink ref="I197" r:id="rId392"/>
    <hyperlink ref="H198" r:id="rId393"/>
    <hyperlink ref="I198" r:id="rId394"/>
    <hyperlink ref="H199" r:id="rId395"/>
    <hyperlink ref="I199" r:id="rId396"/>
    <hyperlink ref="H200" r:id="rId397"/>
    <hyperlink ref="I200" r:id="rId398"/>
    <hyperlink ref="H201" r:id="rId399"/>
    <hyperlink ref="I201" r:id="rId400"/>
    <hyperlink ref="H202" r:id="rId401"/>
    <hyperlink ref="I202" r:id="rId402"/>
    <hyperlink ref="H203" r:id="rId403"/>
    <hyperlink ref="I203" r:id="rId404"/>
    <hyperlink ref="H204" r:id="rId405"/>
    <hyperlink ref="I204" r:id="rId406"/>
    <hyperlink ref="H205" r:id="rId407"/>
    <hyperlink ref="I205" r:id="rId408"/>
    <hyperlink ref="H206" r:id="rId409"/>
    <hyperlink ref="I206" r:id="rId410"/>
    <hyperlink ref="H207" r:id="rId411"/>
    <hyperlink ref="I207" r:id="rId412"/>
    <hyperlink ref="H208" r:id="rId413"/>
    <hyperlink ref="I208" r:id="rId414"/>
    <hyperlink ref="H209" r:id="rId415"/>
    <hyperlink ref="I209" r:id="rId416"/>
    <hyperlink ref="H210" r:id="rId417"/>
    <hyperlink ref="I210" r:id="rId418"/>
    <hyperlink ref="H211" r:id="rId419"/>
    <hyperlink ref="I211" r:id="rId420"/>
    <hyperlink ref="H212" r:id="rId421"/>
    <hyperlink ref="I212" r:id="rId422"/>
    <hyperlink ref="H213" r:id="rId423"/>
    <hyperlink ref="I213" r:id="rId424"/>
    <hyperlink ref="H214" r:id="rId425"/>
    <hyperlink ref="I214" r:id="rId426"/>
    <hyperlink ref="H215" r:id="rId427"/>
    <hyperlink ref="I215" r:id="rId428"/>
    <hyperlink ref="H216" r:id="rId429"/>
    <hyperlink ref="I216" r:id="rId430"/>
    <hyperlink ref="H217" r:id="rId431"/>
    <hyperlink ref="I217" r:id="rId432"/>
    <hyperlink ref="H218" r:id="rId433"/>
    <hyperlink ref="I218" r:id="rId434"/>
    <hyperlink ref="H219" r:id="rId435"/>
    <hyperlink ref="I219" r:id="rId436"/>
    <hyperlink ref="H220" r:id="rId437"/>
    <hyperlink ref="I220" r:id="rId438"/>
    <hyperlink ref="H221" r:id="rId439"/>
    <hyperlink ref="I221" r:id="rId440"/>
    <hyperlink ref="H222" r:id="rId441"/>
    <hyperlink ref="I222" r:id="rId442"/>
    <hyperlink ref="H223" r:id="rId443"/>
    <hyperlink ref="I223" r:id="rId444"/>
    <hyperlink ref="H224" r:id="rId445"/>
    <hyperlink ref="I224" r:id="rId446"/>
    <hyperlink ref="H225" r:id="rId447"/>
    <hyperlink ref="I225" r:id="rId448"/>
    <hyperlink ref="H226" r:id="rId449"/>
    <hyperlink ref="I226" r:id="rId450"/>
    <hyperlink ref="H227" r:id="rId451"/>
    <hyperlink ref="I227" r:id="rId452"/>
    <hyperlink ref="H228" r:id="rId453"/>
    <hyperlink ref="I228" r:id="rId454"/>
    <hyperlink ref="H229" r:id="rId455"/>
    <hyperlink ref="I229" r:id="rId456"/>
    <hyperlink ref="H230" r:id="rId457"/>
    <hyperlink ref="I230" r:id="rId458"/>
    <hyperlink ref="H231" r:id="rId459"/>
    <hyperlink ref="I231" r:id="rId460"/>
    <hyperlink ref="H232" r:id="rId461"/>
    <hyperlink ref="I232" r:id="rId462"/>
    <hyperlink ref="H233" r:id="rId463"/>
    <hyperlink ref="I233" r:id="rId464"/>
    <hyperlink ref="H234" r:id="rId465"/>
    <hyperlink ref="I234" r:id="rId466"/>
    <hyperlink ref="H235" r:id="rId467"/>
    <hyperlink ref="I235" r:id="rId468"/>
    <hyperlink ref="H236" r:id="rId469"/>
    <hyperlink ref="I236" r:id="rId470"/>
    <hyperlink ref="H237" r:id="rId471"/>
    <hyperlink ref="I237" r:id="rId472"/>
    <hyperlink ref="H238" r:id="rId473"/>
    <hyperlink ref="I238" r:id="rId474"/>
    <hyperlink ref="H239" r:id="rId475"/>
    <hyperlink ref="I239" r:id="rId476"/>
    <hyperlink ref="H240" r:id="rId477"/>
    <hyperlink ref="I240" r:id="rId478"/>
    <hyperlink ref="H241" r:id="rId479"/>
    <hyperlink ref="I241" r:id="rId480"/>
    <hyperlink ref="H242" r:id="rId481"/>
    <hyperlink ref="I242" r:id="rId482"/>
    <hyperlink ref="H243" r:id="rId483"/>
    <hyperlink ref="I243" r:id="rId484"/>
    <hyperlink ref="H244" r:id="rId485"/>
    <hyperlink ref="I244" r:id="rId486"/>
    <hyperlink ref="H245" r:id="rId487"/>
    <hyperlink ref="I245" r:id="rId488"/>
    <hyperlink ref="H246" r:id="rId489"/>
    <hyperlink ref="I246" r:id="rId490"/>
    <hyperlink ref="H247" r:id="rId491"/>
    <hyperlink ref="I247" r:id="rId492"/>
    <hyperlink ref="H248" r:id="rId493"/>
    <hyperlink ref="I248" r:id="rId494"/>
    <hyperlink ref="H249" r:id="rId495"/>
    <hyperlink ref="I249" r:id="rId496"/>
    <hyperlink ref="H250" r:id="rId497"/>
    <hyperlink ref="I250" r:id="rId498"/>
    <hyperlink ref="H251" r:id="rId499"/>
    <hyperlink ref="I251" r:id="rId500"/>
    <hyperlink ref="H252" r:id="rId501"/>
    <hyperlink ref="I252" r:id="rId502"/>
    <hyperlink ref="H253" r:id="rId503"/>
    <hyperlink ref="I253" r:id="rId504"/>
    <hyperlink ref="H254" r:id="rId505"/>
    <hyperlink ref="I254" r:id="rId506"/>
    <hyperlink ref="H255" r:id="rId507"/>
    <hyperlink ref="I255" r:id="rId508"/>
    <hyperlink ref="H256" r:id="rId509"/>
    <hyperlink ref="I256" r:id="rId510"/>
    <hyperlink ref="H257" r:id="rId511"/>
    <hyperlink ref="I257" r:id="rId512"/>
    <hyperlink ref="H258" r:id="rId513"/>
    <hyperlink ref="I258" r:id="rId514"/>
    <hyperlink ref="H259" r:id="rId515"/>
    <hyperlink ref="I259" r:id="rId516"/>
    <hyperlink ref="H260" r:id="rId517"/>
    <hyperlink ref="I260" r:id="rId518"/>
    <hyperlink ref="H261" r:id="rId519"/>
    <hyperlink ref="I261" r:id="rId520"/>
    <hyperlink ref="H262" r:id="rId521"/>
    <hyperlink ref="I262" r:id="rId522"/>
    <hyperlink ref="H263" r:id="rId523"/>
    <hyperlink ref="I263" r:id="rId524"/>
    <hyperlink ref="H264" r:id="rId525"/>
    <hyperlink ref="I264" r:id="rId526"/>
    <hyperlink ref="H265" r:id="rId527"/>
    <hyperlink ref="I265" r:id="rId528"/>
    <hyperlink ref="H266" r:id="rId529"/>
    <hyperlink ref="I266" r:id="rId530"/>
    <hyperlink ref="H267" r:id="rId531"/>
    <hyperlink ref="I267" r:id="rId532"/>
    <hyperlink ref="H268" r:id="rId533"/>
    <hyperlink ref="I268" r:id="rId534"/>
    <hyperlink ref="H269" r:id="rId535"/>
    <hyperlink ref="I269" r:id="rId536"/>
    <hyperlink ref="H270" r:id="rId537"/>
    <hyperlink ref="I270" r:id="rId538"/>
    <hyperlink ref="H271" r:id="rId539"/>
    <hyperlink ref="I271" r:id="rId540"/>
    <hyperlink ref="H272" r:id="rId541"/>
    <hyperlink ref="I272" r:id="rId542"/>
    <hyperlink ref="H273" r:id="rId543"/>
    <hyperlink ref="I273" r:id="rId544"/>
    <hyperlink ref="H274" r:id="rId545"/>
    <hyperlink ref="I274" r:id="rId546"/>
    <hyperlink ref="H275" r:id="rId547"/>
    <hyperlink ref="I275" r:id="rId548"/>
    <hyperlink ref="H276" r:id="rId549"/>
    <hyperlink ref="I276" r:id="rId550"/>
    <hyperlink ref="H277" r:id="rId551"/>
    <hyperlink ref="I277" r:id="rId552"/>
    <hyperlink ref="H278" r:id="rId553"/>
    <hyperlink ref="I278" r:id="rId554"/>
    <hyperlink ref="H279" r:id="rId555"/>
    <hyperlink ref="I279" r:id="rId556"/>
    <hyperlink ref="H280" r:id="rId557"/>
    <hyperlink ref="I280" r:id="rId558"/>
    <hyperlink ref="H281" r:id="rId559"/>
    <hyperlink ref="I281" r:id="rId560"/>
    <hyperlink ref="H282" r:id="rId561"/>
    <hyperlink ref="I282" r:id="rId562"/>
    <hyperlink ref="H283" r:id="rId563"/>
    <hyperlink ref="I283" r:id="rId564"/>
    <hyperlink ref="H284" r:id="rId565"/>
    <hyperlink ref="I284" r:id="rId566"/>
    <hyperlink ref="H285" r:id="rId567"/>
    <hyperlink ref="I285" r:id="rId568"/>
    <hyperlink ref="H286" r:id="rId569"/>
    <hyperlink ref="I286" r:id="rId570"/>
    <hyperlink ref="H287" r:id="rId571"/>
    <hyperlink ref="I287" r:id="rId572"/>
    <hyperlink ref="H288" r:id="rId573"/>
    <hyperlink ref="I288" r:id="rId574"/>
    <hyperlink ref="H289" r:id="rId575"/>
    <hyperlink ref="I289" r:id="rId576"/>
    <hyperlink ref="H290" r:id="rId577"/>
    <hyperlink ref="I290" r:id="rId578"/>
    <hyperlink ref="H291" r:id="rId579"/>
    <hyperlink ref="I291" r:id="rId580"/>
    <hyperlink ref="H292" r:id="rId581"/>
    <hyperlink ref="I292" r:id="rId582"/>
    <hyperlink ref="H293" r:id="rId583"/>
    <hyperlink ref="I293" r:id="rId584"/>
    <hyperlink ref="H294" r:id="rId585"/>
    <hyperlink ref="I294" r:id="rId586"/>
    <hyperlink ref="H295" r:id="rId587"/>
    <hyperlink ref="I295" r:id="rId588"/>
    <hyperlink ref="H296" r:id="rId589"/>
    <hyperlink ref="I296" r:id="rId590"/>
    <hyperlink ref="H297" r:id="rId591"/>
    <hyperlink ref="I297" r:id="rId592"/>
    <hyperlink ref="H298" r:id="rId593"/>
    <hyperlink ref="I298" r:id="rId594"/>
    <hyperlink ref="H299" r:id="rId595"/>
    <hyperlink ref="I299" r:id="rId596"/>
    <hyperlink ref="H300" r:id="rId597"/>
    <hyperlink ref="I300" r:id="rId598"/>
    <hyperlink ref="H301" r:id="rId599"/>
    <hyperlink ref="I301" r:id="rId600"/>
    <hyperlink ref="H302" r:id="rId601"/>
    <hyperlink ref="I302" r:id="rId602"/>
    <hyperlink ref="H303" r:id="rId603"/>
    <hyperlink ref="I303" r:id="rId604"/>
    <hyperlink ref="H304" r:id="rId605"/>
    <hyperlink ref="I304" r:id="rId606"/>
    <hyperlink ref="H305" r:id="rId607"/>
    <hyperlink ref="I305" r:id="rId608"/>
    <hyperlink ref="H306" r:id="rId609"/>
    <hyperlink ref="I306" r:id="rId610"/>
    <hyperlink ref="H307" r:id="rId611"/>
    <hyperlink ref="I307" r:id="rId612"/>
    <hyperlink ref="H308" r:id="rId613"/>
    <hyperlink ref="I308" r:id="rId614"/>
    <hyperlink ref="H309" r:id="rId615"/>
    <hyperlink ref="I309" r:id="rId616"/>
    <hyperlink ref="H310" r:id="rId617"/>
    <hyperlink ref="I310" r:id="rId618"/>
    <hyperlink ref="H311" r:id="rId619"/>
    <hyperlink ref="I311" r:id="rId620"/>
    <hyperlink ref="H312" r:id="rId621"/>
    <hyperlink ref="I312" r:id="rId622"/>
    <hyperlink ref="H313" r:id="rId623"/>
    <hyperlink ref="I313" r:id="rId624"/>
    <hyperlink ref="H314" r:id="rId625"/>
    <hyperlink ref="I314" r:id="rId626"/>
    <hyperlink ref="H315" r:id="rId627"/>
    <hyperlink ref="I315" r:id="rId628"/>
    <hyperlink ref="H316" r:id="rId629"/>
    <hyperlink ref="I316" r:id="rId630"/>
    <hyperlink ref="H317" r:id="rId631"/>
    <hyperlink ref="I317" r:id="rId632"/>
    <hyperlink ref="H318" r:id="rId633"/>
    <hyperlink ref="I318" r:id="rId634"/>
    <hyperlink ref="H319" r:id="rId635"/>
    <hyperlink ref="I319" r:id="rId636"/>
    <hyperlink ref="H320" r:id="rId637"/>
    <hyperlink ref="I320" r:id="rId638"/>
    <hyperlink ref="H321" r:id="rId639"/>
    <hyperlink ref="I321" r:id="rId640"/>
    <hyperlink ref="H322" r:id="rId641"/>
    <hyperlink ref="I322" r:id="rId642"/>
    <hyperlink ref="H323" r:id="rId643"/>
    <hyperlink ref="I323" r:id="rId644"/>
    <hyperlink ref="H324" r:id="rId645"/>
    <hyperlink ref="I324" r:id="rId646"/>
    <hyperlink ref="H325" r:id="rId647"/>
    <hyperlink ref="I325" r:id="rId648"/>
    <hyperlink ref="H326" r:id="rId649"/>
    <hyperlink ref="I326" r:id="rId650"/>
    <hyperlink ref="H327" r:id="rId651"/>
    <hyperlink ref="I327" r:id="rId652"/>
    <hyperlink ref="H328" r:id="rId653"/>
    <hyperlink ref="I328" r:id="rId654"/>
    <hyperlink ref="H329" r:id="rId655"/>
    <hyperlink ref="I329" r:id="rId656"/>
    <hyperlink ref="H330" r:id="rId657"/>
    <hyperlink ref="I330" r:id="rId658"/>
    <hyperlink ref="H331" r:id="rId659"/>
    <hyperlink ref="I331" r:id="rId660"/>
    <hyperlink ref="H332" r:id="rId661"/>
    <hyperlink ref="I332" r:id="rId662"/>
    <hyperlink ref="H333" r:id="rId663"/>
    <hyperlink ref="I333" r:id="rId664"/>
    <hyperlink ref="H334" r:id="rId665"/>
    <hyperlink ref="I334" r:id="rId666"/>
    <hyperlink ref="H335" r:id="rId667"/>
    <hyperlink ref="I335" r:id="rId668"/>
    <hyperlink ref="H336" r:id="rId669"/>
    <hyperlink ref="I336" r:id="rId670"/>
    <hyperlink ref="H337" r:id="rId671"/>
    <hyperlink ref="I337" r:id="rId672"/>
    <hyperlink ref="H338" r:id="rId673"/>
    <hyperlink ref="I338" r:id="rId674"/>
    <hyperlink ref="H339" r:id="rId675"/>
    <hyperlink ref="I339" r:id="rId676"/>
    <hyperlink ref="H340" r:id="rId677"/>
    <hyperlink ref="I340" r:id="rId678"/>
    <hyperlink ref="H341" r:id="rId679"/>
    <hyperlink ref="I341" r:id="rId680"/>
    <hyperlink ref="H342" r:id="rId681"/>
    <hyperlink ref="I342" r:id="rId682"/>
    <hyperlink ref="H343" r:id="rId683"/>
    <hyperlink ref="I343" r:id="rId684"/>
    <hyperlink ref="H344" r:id="rId685"/>
    <hyperlink ref="I344" r:id="rId686"/>
    <hyperlink ref="H345" r:id="rId687"/>
    <hyperlink ref="I345" r:id="rId688"/>
    <hyperlink ref="H346" r:id="rId689"/>
    <hyperlink ref="I346" r:id="rId690"/>
    <hyperlink ref="H347" r:id="rId691"/>
    <hyperlink ref="I347" r:id="rId692"/>
    <hyperlink ref="H348" r:id="rId693"/>
    <hyperlink ref="I348" r:id="rId694"/>
    <hyperlink ref="H349" r:id="rId695"/>
    <hyperlink ref="I349" r:id="rId696"/>
    <hyperlink ref="H350" r:id="rId697"/>
    <hyperlink ref="I350" r:id="rId698"/>
    <hyperlink ref="H351" r:id="rId699"/>
    <hyperlink ref="I351" r:id="rId700"/>
    <hyperlink ref="H352" r:id="rId701"/>
    <hyperlink ref="I352" r:id="rId702"/>
    <hyperlink ref="H353" r:id="rId703"/>
    <hyperlink ref="I353" r:id="rId704"/>
    <hyperlink ref="H354" r:id="rId705"/>
    <hyperlink ref="I354" r:id="rId706"/>
    <hyperlink ref="H355" r:id="rId707"/>
    <hyperlink ref="I355" r:id="rId708"/>
    <hyperlink ref="H356" r:id="rId709"/>
    <hyperlink ref="I356" r:id="rId710"/>
    <hyperlink ref="H357" r:id="rId711"/>
    <hyperlink ref="I357" r:id="rId712"/>
    <hyperlink ref="H358" r:id="rId713"/>
    <hyperlink ref="I358" r:id="rId714"/>
    <hyperlink ref="H359" r:id="rId715"/>
    <hyperlink ref="I359" r:id="rId716"/>
    <hyperlink ref="H360" r:id="rId717"/>
    <hyperlink ref="I360" r:id="rId718"/>
    <hyperlink ref="H361" r:id="rId719"/>
    <hyperlink ref="I361" r:id="rId720"/>
    <hyperlink ref="H362" r:id="rId721"/>
    <hyperlink ref="I362" r:id="rId722"/>
    <hyperlink ref="H363" r:id="rId723"/>
    <hyperlink ref="I363" r:id="rId724"/>
    <hyperlink ref="H364" r:id="rId725"/>
    <hyperlink ref="I364" r:id="rId726"/>
    <hyperlink ref="H365" r:id="rId727"/>
    <hyperlink ref="I365" r:id="rId728"/>
    <hyperlink ref="H366" r:id="rId729"/>
    <hyperlink ref="I366" r:id="rId730"/>
    <hyperlink ref="H367" r:id="rId731"/>
    <hyperlink ref="I367" r:id="rId732"/>
    <hyperlink ref="H368" r:id="rId733"/>
    <hyperlink ref="I368" r:id="rId734"/>
    <hyperlink ref="H369" r:id="rId735"/>
    <hyperlink ref="I369" r:id="rId736"/>
    <hyperlink ref="H370" r:id="rId737"/>
    <hyperlink ref="I370" r:id="rId738"/>
    <hyperlink ref="H371" r:id="rId739"/>
    <hyperlink ref="I371" r:id="rId740"/>
    <hyperlink ref="H372" r:id="rId741"/>
    <hyperlink ref="I372" r:id="rId742"/>
    <hyperlink ref="H373" r:id="rId743"/>
    <hyperlink ref="I373" r:id="rId744"/>
    <hyperlink ref="H374" r:id="rId745"/>
    <hyperlink ref="I374" r:id="rId746"/>
    <hyperlink ref="H375" r:id="rId747"/>
    <hyperlink ref="I375" r:id="rId748"/>
    <hyperlink ref="H376" r:id="rId749"/>
    <hyperlink ref="I376" r:id="rId750"/>
    <hyperlink ref="H377" r:id="rId751"/>
    <hyperlink ref="I377" r:id="rId752"/>
    <hyperlink ref="H378" r:id="rId753"/>
    <hyperlink ref="I378" r:id="rId754"/>
    <hyperlink ref="H379" r:id="rId755"/>
    <hyperlink ref="I379" r:id="rId756"/>
    <hyperlink ref="H380" r:id="rId757"/>
    <hyperlink ref="I380" r:id="rId758"/>
    <hyperlink ref="H381" r:id="rId759"/>
    <hyperlink ref="I381" r:id="rId760"/>
    <hyperlink ref="H382" r:id="rId761"/>
    <hyperlink ref="I382" r:id="rId762"/>
    <hyperlink ref="H383" r:id="rId763"/>
    <hyperlink ref="I383" r:id="rId764"/>
    <hyperlink ref="H384" r:id="rId765"/>
    <hyperlink ref="I384" r:id="rId766"/>
    <hyperlink ref="H385" r:id="rId767"/>
    <hyperlink ref="I385" r:id="rId768"/>
    <hyperlink ref="H386" r:id="rId769"/>
    <hyperlink ref="I386" r:id="rId770"/>
    <hyperlink ref="H387" r:id="rId771"/>
    <hyperlink ref="I387" r:id="rId772"/>
    <hyperlink ref="H388" r:id="rId773"/>
    <hyperlink ref="I388" r:id="rId774"/>
    <hyperlink ref="H389" r:id="rId775"/>
    <hyperlink ref="I389" r:id="rId776"/>
    <hyperlink ref="H390" r:id="rId777"/>
    <hyperlink ref="I390" r:id="rId778"/>
    <hyperlink ref="H391" r:id="rId779"/>
    <hyperlink ref="I391" r:id="rId780"/>
    <hyperlink ref="H392" r:id="rId781"/>
    <hyperlink ref="I392" r:id="rId782"/>
    <hyperlink ref="H393" r:id="rId783"/>
    <hyperlink ref="I393" r:id="rId784"/>
    <hyperlink ref="H394" r:id="rId785"/>
    <hyperlink ref="I394" r:id="rId786"/>
    <hyperlink ref="H395" r:id="rId787"/>
    <hyperlink ref="I395" r:id="rId788"/>
    <hyperlink ref="H396" r:id="rId789"/>
    <hyperlink ref="I396" r:id="rId790"/>
    <hyperlink ref="H397" r:id="rId791"/>
    <hyperlink ref="I397" r:id="rId792"/>
    <hyperlink ref="H398" r:id="rId793"/>
    <hyperlink ref="I398" r:id="rId794"/>
    <hyperlink ref="H399" r:id="rId795"/>
    <hyperlink ref="I399" r:id="rId796"/>
    <hyperlink ref="H400" r:id="rId797"/>
    <hyperlink ref="I400" r:id="rId798"/>
    <hyperlink ref="H401" r:id="rId799"/>
    <hyperlink ref="I401" r:id="rId800"/>
    <hyperlink ref="H402" r:id="rId801"/>
    <hyperlink ref="I402" r:id="rId802"/>
    <hyperlink ref="H403" r:id="rId803"/>
    <hyperlink ref="I403" r:id="rId804"/>
    <hyperlink ref="H404" r:id="rId805"/>
    <hyperlink ref="I404" r:id="rId806"/>
    <hyperlink ref="H405" r:id="rId807"/>
    <hyperlink ref="I405" r:id="rId808"/>
    <hyperlink ref="H406" r:id="rId809"/>
    <hyperlink ref="I406" r:id="rId810"/>
    <hyperlink ref="H407" r:id="rId811"/>
    <hyperlink ref="I407" r:id="rId812"/>
    <hyperlink ref="H408" r:id="rId813"/>
    <hyperlink ref="I408" r:id="rId814"/>
    <hyperlink ref="H409" r:id="rId815"/>
    <hyperlink ref="I409" r:id="rId816"/>
    <hyperlink ref="H410" r:id="rId817"/>
    <hyperlink ref="I410" r:id="rId818"/>
    <hyperlink ref="H411" r:id="rId819"/>
    <hyperlink ref="I411" r:id="rId820"/>
    <hyperlink ref="H412" r:id="rId821"/>
    <hyperlink ref="I412" r:id="rId822"/>
    <hyperlink ref="H413" r:id="rId823"/>
    <hyperlink ref="I413" r:id="rId824"/>
    <hyperlink ref="H414" r:id="rId825"/>
    <hyperlink ref="I414" r:id="rId826"/>
    <hyperlink ref="H415" r:id="rId827"/>
    <hyperlink ref="I415" r:id="rId828"/>
    <hyperlink ref="H416" r:id="rId829"/>
    <hyperlink ref="I416" r:id="rId830"/>
    <hyperlink ref="H417" r:id="rId831"/>
    <hyperlink ref="I417" r:id="rId832"/>
    <hyperlink ref="H418" r:id="rId833"/>
    <hyperlink ref="I418" r:id="rId834"/>
    <hyperlink ref="H419" r:id="rId835"/>
    <hyperlink ref="I419" r:id="rId836"/>
    <hyperlink ref="H420" r:id="rId837"/>
    <hyperlink ref="I420" r:id="rId838"/>
    <hyperlink ref="H421" r:id="rId839"/>
    <hyperlink ref="I421" r:id="rId840"/>
    <hyperlink ref="H422" r:id="rId841"/>
    <hyperlink ref="I422" r:id="rId842"/>
    <hyperlink ref="H423" r:id="rId843"/>
    <hyperlink ref="I423" r:id="rId844"/>
    <hyperlink ref="H424" r:id="rId845"/>
    <hyperlink ref="I424" r:id="rId846"/>
    <hyperlink ref="H425" r:id="rId847"/>
    <hyperlink ref="I425" r:id="rId848"/>
    <hyperlink ref="H426" r:id="rId849"/>
    <hyperlink ref="I426" r:id="rId850"/>
    <hyperlink ref="H427" r:id="rId851"/>
    <hyperlink ref="I427" r:id="rId852"/>
    <hyperlink ref="H428" r:id="rId853"/>
    <hyperlink ref="I428" r:id="rId854"/>
    <hyperlink ref="H429" r:id="rId855"/>
    <hyperlink ref="I429" r:id="rId856"/>
    <hyperlink ref="H430" r:id="rId857"/>
    <hyperlink ref="I430" r:id="rId858"/>
    <hyperlink ref="H431" r:id="rId859"/>
    <hyperlink ref="I431" r:id="rId860"/>
    <hyperlink ref="H432" r:id="rId861"/>
    <hyperlink ref="I432" r:id="rId862"/>
    <hyperlink ref="H433" r:id="rId863"/>
    <hyperlink ref="I433" r:id="rId864"/>
    <hyperlink ref="H434" r:id="rId865"/>
    <hyperlink ref="I434" r:id="rId866"/>
    <hyperlink ref="H435" r:id="rId867"/>
    <hyperlink ref="I435" r:id="rId868"/>
    <hyperlink ref="H436" r:id="rId869"/>
    <hyperlink ref="I436" r:id="rId870"/>
    <hyperlink ref="H437" r:id="rId871"/>
    <hyperlink ref="I437" r:id="rId872"/>
    <hyperlink ref="H438" r:id="rId873"/>
    <hyperlink ref="I438" r:id="rId874"/>
    <hyperlink ref="H439" r:id="rId875"/>
    <hyperlink ref="I439" r:id="rId876"/>
    <hyperlink ref="H440" r:id="rId877"/>
    <hyperlink ref="I440" r:id="rId878"/>
    <hyperlink ref="H441" r:id="rId879"/>
    <hyperlink ref="I441" r:id="rId880"/>
    <hyperlink ref="H442" r:id="rId881"/>
    <hyperlink ref="I442" r:id="rId882"/>
    <hyperlink ref="H443" r:id="rId883"/>
    <hyperlink ref="I443" r:id="rId884"/>
    <hyperlink ref="H444" r:id="rId885"/>
    <hyperlink ref="I444" r:id="rId886"/>
    <hyperlink ref="H445" r:id="rId887"/>
    <hyperlink ref="I445" r:id="rId888"/>
    <hyperlink ref="H446" r:id="rId889"/>
    <hyperlink ref="I446" r:id="rId890"/>
    <hyperlink ref="H447" r:id="rId891"/>
    <hyperlink ref="I447" r:id="rId892"/>
    <hyperlink ref="H448" r:id="rId893"/>
    <hyperlink ref="I448" r:id="rId894"/>
    <hyperlink ref="H449" r:id="rId895"/>
    <hyperlink ref="I449" r:id="rId896"/>
    <hyperlink ref="H450" r:id="rId897"/>
    <hyperlink ref="I450" r:id="rId898"/>
    <hyperlink ref="H451" r:id="rId899"/>
    <hyperlink ref="I451" r:id="rId900"/>
    <hyperlink ref="H452" r:id="rId901"/>
    <hyperlink ref="I452" r:id="rId902"/>
    <hyperlink ref="H453" r:id="rId903"/>
    <hyperlink ref="I453" r:id="rId904"/>
    <hyperlink ref="H454" r:id="rId905"/>
    <hyperlink ref="I454" r:id="rId906"/>
    <hyperlink ref="H455" r:id="rId907"/>
    <hyperlink ref="I455" r:id="rId908"/>
    <hyperlink ref="H456" r:id="rId909"/>
    <hyperlink ref="I456" r:id="rId910"/>
    <hyperlink ref="H457" r:id="rId911"/>
    <hyperlink ref="I457" r:id="rId912"/>
    <hyperlink ref="H458" r:id="rId913"/>
    <hyperlink ref="I458" r:id="rId914"/>
    <hyperlink ref="H459" r:id="rId915"/>
    <hyperlink ref="I459" r:id="rId916"/>
    <hyperlink ref="H460" r:id="rId917"/>
    <hyperlink ref="I460" r:id="rId918"/>
    <hyperlink ref="H461" r:id="rId919"/>
    <hyperlink ref="I461" r:id="rId920"/>
    <hyperlink ref="H462" r:id="rId921"/>
    <hyperlink ref="I462" r:id="rId922"/>
    <hyperlink ref="H463" r:id="rId923"/>
    <hyperlink ref="I463" r:id="rId924"/>
    <hyperlink ref="H464" r:id="rId925"/>
    <hyperlink ref="I464" r:id="rId926"/>
    <hyperlink ref="H465" r:id="rId927"/>
    <hyperlink ref="I465" r:id="rId928"/>
    <hyperlink ref="H466" r:id="rId929"/>
    <hyperlink ref="I466" r:id="rId930"/>
    <hyperlink ref="H467" r:id="rId931"/>
    <hyperlink ref="I467" r:id="rId932"/>
    <hyperlink ref="H468" r:id="rId933"/>
    <hyperlink ref="I468" r:id="rId934"/>
    <hyperlink ref="H469" r:id="rId935"/>
    <hyperlink ref="I469" r:id="rId936"/>
    <hyperlink ref="H470" r:id="rId937"/>
    <hyperlink ref="I470" r:id="rId938"/>
    <hyperlink ref="H471" r:id="rId939"/>
    <hyperlink ref="I471" r:id="rId940"/>
    <hyperlink ref="H472" r:id="rId941"/>
    <hyperlink ref="I472" r:id="rId942"/>
    <hyperlink ref="H473" r:id="rId943"/>
    <hyperlink ref="I473" r:id="rId944"/>
    <hyperlink ref="H474" r:id="rId945"/>
    <hyperlink ref="I474" r:id="rId946"/>
    <hyperlink ref="H475" r:id="rId947"/>
    <hyperlink ref="I475" r:id="rId948"/>
    <hyperlink ref="H476" r:id="rId949"/>
    <hyperlink ref="I476" r:id="rId950"/>
    <hyperlink ref="H477" r:id="rId951"/>
    <hyperlink ref="I477" r:id="rId952"/>
    <hyperlink ref="H478" r:id="rId953"/>
    <hyperlink ref="I478" r:id="rId954"/>
    <hyperlink ref="H479" r:id="rId955"/>
    <hyperlink ref="I479" r:id="rId956"/>
    <hyperlink ref="H480" r:id="rId957"/>
    <hyperlink ref="I480" r:id="rId958"/>
    <hyperlink ref="H481" r:id="rId959"/>
    <hyperlink ref="I481" r:id="rId960"/>
    <hyperlink ref="H482" r:id="rId961"/>
    <hyperlink ref="I482" r:id="rId962"/>
    <hyperlink ref="H483" r:id="rId963"/>
    <hyperlink ref="I483" r:id="rId964"/>
    <hyperlink ref="H484" r:id="rId965"/>
    <hyperlink ref="I484" r:id="rId966"/>
    <hyperlink ref="H485" r:id="rId967"/>
    <hyperlink ref="I485" r:id="rId968"/>
    <hyperlink ref="H486" r:id="rId969"/>
    <hyperlink ref="I486" r:id="rId970"/>
    <hyperlink ref="H487" r:id="rId971"/>
    <hyperlink ref="I487" r:id="rId972"/>
    <hyperlink ref="H488" r:id="rId973"/>
    <hyperlink ref="I488" r:id="rId974"/>
    <hyperlink ref="H489" r:id="rId975"/>
    <hyperlink ref="I489" r:id="rId976"/>
    <hyperlink ref="H490" r:id="rId977"/>
    <hyperlink ref="I490" r:id="rId978"/>
    <hyperlink ref="H491" r:id="rId979"/>
    <hyperlink ref="I491" r:id="rId980"/>
    <hyperlink ref="H492" r:id="rId981"/>
    <hyperlink ref="I492" r:id="rId982"/>
    <hyperlink ref="H493" r:id="rId983"/>
    <hyperlink ref="I493" r:id="rId984"/>
    <hyperlink ref="H494" r:id="rId985"/>
    <hyperlink ref="I494" r:id="rId986"/>
    <hyperlink ref="H495" r:id="rId987"/>
    <hyperlink ref="I495" r:id="rId988"/>
    <hyperlink ref="H496" r:id="rId989"/>
    <hyperlink ref="I496" r:id="rId990"/>
    <hyperlink ref="H497" r:id="rId991"/>
    <hyperlink ref="I497" r:id="rId992"/>
    <hyperlink ref="H498" r:id="rId993"/>
    <hyperlink ref="I498" r:id="rId994"/>
    <hyperlink ref="H499" r:id="rId995"/>
    <hyperlink ref="I499" r:id="rId996"/>
    <hyperlink ref="H500" r:id="rId997"/>
    <hyperlink ref="I500" r:id="rId998"/>
    <hyperlink ref="H501" r:id="rId999"/>
    <hyperlink ref="I501" r:id="rId1000"/>
    <hyperlink ref="H502" r:id="rId1001"/>
    <hyperlink ref="I502" r:id="rId1002"/>
    <hyperlink ref="H503" r:id="rId1003"/>
    <hyperlink ref="I503" r:id="rId1004"/>
    <hyperlink ref="H504" r:id="rId1005"/>
    <hyperlink ref="I504" r:id="rId1006"/>
    <hyperlink ref="H505" r:id="rId1007"/>
    <hyperlink ref="I505" r:id="rId1008"/>
    <hyperlink ref="H506" r:id="rId1009"/>
    <hyperlink ref="I506" r:id="rId1010"/>
    <hyperlink ref="H507" r:id="rId1011"/>
    <hyperlink ref="I507" r:id="rId1012"/>
    <hyperlink ref="H508" r:id="rId1013"/>
    <hyperlink ref="I508" r:id="rId1014"/>
    <hyperlink ref="H509" r:id="rId1015"/>
    <hyperlink ref="I509" r:id="rId1016"/>
    <hyperlink ref="H510" r:id="rId1017"/>
    <hyperlink ref="I510" r:id="rId1018"/>
    <hyperlink ref="H511" r:id="rId1019"/>
    <hyperlink ref="I511" r:id="rId1020"/>
    <hyperlink ref="H512" r:id="rId1021"/>
    <hyperlink ref="I512" r:id="rId1022"/>
    <hyperlink ref="H513" r:id="rId1023"/>
    <hyperlink ref="I513" r:id="rId1024"/>
    <hyperlink ref="H514" r:id="rId1025"/>
    <hyperlink ref="I514" r:id="rId1026"/>
    <hyperlink ref="H515" r:id="rId1027"/>
    <hyperlink ref="I515" r:id="rId1028"/>
    <hyperlink ref="H516" r:id="rId1029"/>
    <hyperlink ref="I516" r:id="rId1030"/>
    <hyperlink ref="H517" r:id="rId1031"/>
    <hyperlink ref="I517" r:id="rId1032"/>
    <hyperlink ref="H518" r:id="rId1033"/>
    <hyperlink ref="I518" r:id="rId1034"/>
    <hyperlink ref="H519" r:id="rId1035"/>
    <hyperlink ref="I519" r:id="rId1036"/>
    <hyperlink ref="H520" r:id="rId1037"/>
    <hyperlink ref="I520" r:id="rId1038"/>
    <hyperlink ref="H521" r:id="rId1039"/>
    <hyperlink ref="I521" r:id="rId1040"/>
    <hyperlink ref="H522" r:id="rId1041"/>
    <hyperlink ref="I522" r:id="rId1042"/>
    <hyperlink ref="H523" r:id="rId1043"/>
    <hyperlink ref="I523" r:id="rId1044"/>
    <hyperlink ref="H524" r:id="rId1045"/>
    <hyperlink ref="I524" r:id="rId1046"/>
    <hyperlink ref="H525" r:id="rId1047"/>
    <hyperlink ref="I525" r:id="rId1048"/>
    <hyperlink ref="H526" r:id="rId1049"/>
    <hyperlink ref="I526" r:id="rId1050"/>
    <hyperlink ref="H527" r:id="rId1051"/>
    <hyperlink ref="I527" r:id="rId1052"/>
    <hyperlink ref="H528" r:id="rId1053"/>
    <hyperlink ref="I528" r:id="rId1054"/>
    <hyperlink ref="H529" r:id="rId1055"/>
    <hyperlink ref="I529" r:id="rId1056"/>
    <hyperlink ref="H530" r:id="rId1057"/>
    <hyperlink ref="I530" r:id="rId1058"/>
    <hyperlink ref="H531" r:id="rId1059"/>
    <hyperlink ref="I531" r:id="rId1060"/>
    <hyperlink ref="H532" r:id="rId1061"/>
    <hyperlink ref="I532" r:id="rId1062"/>
    <hyperlink ref="H533" r:id="rId1063"/>
    <hyperlink ref="I533" r:id="rId1064"/>
    <hyperlink ref="H534" r:id="rId1065"/>
    <hyperlink ref="I534" r:id="rId1066"/>
    <hyperlink ref="H535" r:id="rId1067"/>
    <hyperlink ref="I535" r:id="rId1068"/>
    <hyperlink ref="H536" r:id="rId1069"/>
    <hyperlink ref="I536" r:id="rId1070"/>
    <hyperlink ref="H537" r:id="rId1071"/>
    <hyperlink ref="I537" r:id="rId1072"/>
    <hyperlink ref="H538" r:id="rId1073"/>
    <hyperlink ref="I538" r:id="rId1074"/>
    <hyperlink ref="H539" r:id="rId1075"/>
    <hyperlink ref="I539" r:id="rId1076"/>
    <hyperlink ref="H540" r:id="rId1077"/>
    <hyperlink ref="I540" r:id="rId1078"/>
    <hyperlink ref="H541" r:id="rId1079"/>
    <hyperlink ref="I541" r:id="rId1080"/>
    <hyperlink ref="H542" r:id="rId1081"/>
    <hyperlink ref="I542" r:id="rId1082"/>
    <hyperlink ref="H543" r:id="rId1083"/>
    <hyperlink ref="I543" r:id="rId1084"/>
    <hyperlink ref="H544" r:id="rId1085"/>
    <hyperlink ref="I544" r:id="rId1086"/>
    <hyperlink ref="H545" r:id="rId1087"/>
    <hyperlink ref="I545" r:id="rId1088"/>
    <hyperlink ref="H546" r:id="rId1089"/>
    <hyperlink ref="I546" r:id="rId1090"/>
    <hyperlink ref="H547" r:id="rId1091"/>
    <hyperlink ref="I547" r:id="rId1092"/>
    <hyperlink ref="H548" r:id="rId1093"/>
    <hyperlink ref="I548" r:id="rId1094"/>
    <hyperlink ref="H549" r:id="rId1095"/>
    <hyperlink ref="I549" r:id="rId1096"/>
    <hyperlink ref="H550" r:id="rId1097"/>
    <hyperlink ref="I550" r:id="rId1098"/>
    <hyperlink ref="H551" r:id="rId1099"/>
    <hyperlink ref="I551" r:id="rId1100"/>
    <hyperlink ref="H552" r:id="rId1101"/>
    <hyperlink ref="I552" r:id="rId1102"/>
    <hyperlink ref="H553" r:id="rId1103"/>
    <hyperlink ref="I553" r:id="rId1104"/>
    <hyperlink ref="H554" r:id="rId1105"/>
    <hyperlink ref="I554" r:id="rId1106"/>
    <hyperlink ref="H555" r:id="rId1107"/>
    <hyperlink ref="I555" r:id="rId1108"/>
    <hyperlink ref="H556" r:id="rId1109"/>
    <hyperlink ref="I556" r:id="rId1110"/>
    <hyperlink ref="H557" r:id="rId1111"/>
    <hyperlink ref="I557" r:id="rId1112"/>
    <hyperlink ref="H558" r:id="rId1113"/>
    <hyperlink ref="I558" r:id="rId1114"/>
    <hyperlink ref="H559" r:id="rId1115"/>
    <hyperlink ref="I559" r:id="rId1116"/>
    <hyperlink ref="H560" r:id="rId1117"/>
    <hyperlink ref="I560" r:id="rId1118"/>
    <hyperlink ref="H561" r:id="rId1119"/>
    <hyperlink ref="I561" r:id="rId1120"/>
    <hyperlink ref="H562" r:id="rId1121"/>
    <hyperlink ref="I562" r:id="rId1122"/>
    <hyperlink ref="H563" r:id="rId1123"/>
    <hyperlink ref="I563" r:id="rId1124"/>
    <hyperlink ref="H564" r:id="rId1125"/>
    <hyperlink ref="I564" r:id="rId1126"/>
    <hyperlink ref="H565" r:id="rId1127"/>
    <hyperlink ref="I565" r:id="rId1128"/>
    <hyperlink ref="H566" r:id="rId1129"/>
    <hyperlink ref="I566" r:id="rId1130"/>
    <hyperlink ref="H567" r:id="rId1131"/>
    <hyperlink ref="I567" r:id="rId1132"/>
    <hyperlink ref="H568" r:id="rId1133"/>
    <hyperlink ref="I568" r:id="rId1134"/>
    <hyperlink ref="H569" r:id="rId1135"/>
    <hyperlink ref="I569" r:id="rId1136"/>
    <hyperlink ref="H570" r:id="rId1137"/>
    <hyperlink ref="I570" r:id="rId1138"/>
    <hyperlink ref="H571" r:id="rId1139"/>
    <hyperlink ref="I571" r:id="rId1140"/>
    <hyperlink ref="H572" r:id="rId1141"/>
    <hyperlink ref="I572" r:id="rId1142"/>
    <hyperlink ref="H573" r:id="rId1143"/>
    <hyperlink ref="I573" r:id="rId1144"/>
    <hyperlink ref="H574" r:id="rId1145"/>
    <hyperlink ref="I574" r:id="rId1146"/>
    <hyperlink ref="H575" r:id="rId1147"/>
    <hyperlink ref="I575" r:id="rId1148"/>
    <hyperlink ref="H576" r:id="rId1149"/>
    <hyperlink ref="I576" r:id="rId1150"/>
    <hyperlink ref="H577" r:id="rId1151"/>
    <hyperlink ref="I577" r:id="rId1152"/>
    <hyperlink ref="H578" r:id="rId1153"/>
    <hyperlink ref="I578" r:id="rId1154"/>
    <hyperlink ref="H579" r:id="rId1155"/>
    <hyperlink ref="I579" r:id="rId1156"/>
    <hyperlink ref="H580" r:id="rId1157"/>
    <hyperlink ref="I580" r:id="rId1158"/>
    <hyperlink ref="H581" r:id="rId1159"/>
    <hyperlink ref="I581" r:id="rId1160"/>
    <hyperlink ref="H582" r:id="rId1161"/>
    <hyperlink ref="I582" r:id="rId1162"/>
    <hyperlink ref="H583" r:id="rId1163"/>
    <hyperlink ref="I583" r:id="rId1164"/>
    <hyperlink ref="H584" r:id="rId1165"/>
    <hyperlink ref="I584" r:id="rId1166"/>
    <hyperlink ref="H585" r:id="rId1167"/>
    <hyperlink ref="I585" r:id="rId1168"/>
    <hyperlink ref="H586" r:id="rId1169"/>
    <hyperlink ref="I586" r:id="rId1170"/>
    <hyperlink ref="H587" r:id="rId1171"/>
    <hyperlink ref="I587" r:id="rId1172"/>
    <hyperlink ref="H588" r:id="rId1173"/>
    <hyperlink ref="I588" r:id="rId1174"/>
    <hyperlink ref="H589" r:id="rId1175"/>
    <hyperlink ref="I589" r:id="rId1176"/>
    <hyperlink ref="H590" r:id="rId1177"/>
    <hyperlink ref="I590" r:id="rId1178"/>
    <hyperlink ref="H591" r:id="rId1179"/>
    <hyperlink ref="I591" r:id="rId1180"/>
    <hyperlink ref="H592" r:id="rId1181"/>
    <hyperlink ref="I592" r:id="rId1182"/>
    <hyperlink ref="H593" r:id="rId1183"/>
    <hyperlink ref="I593" r:id="rId1184"/>
    <hyperlink ref="H594" r:id="rId1185"/>
    <hyperlink ref="I594" r:id="rId1186"/>
    <hyperlink ref="H595" r:id="rId1187"/>
    <hyperlink ref="I595" r:id="rId1188"/>
    <hyperlink ref="H596" r:id="rId1189"/>
    <hyperlink ref="I596" r:id="rId1190"/>
    <hyperlink ref="H597" r:id="rId1191"/>
    <hyperlink ref="I597" r:id="rId1192"/>
    <hyperlink ref="H598" r:id="rId1193"/>
    <hyperlink ref="I598" r:id="rId1194"/>
    <hyperlink ref="H599" r:id="rId1195"/>
    <hyperlink ref="I599" r:id="rId1196"/>
    <hyperlink ref="H600" r:id="rId1197"/>
    <hyperlink ref="I600" r:id="rId1198"/>
    <hyperlink ref="H601" r:id="rId1199"/>
    <hyperlink ref="I601" r:id="rId1200"/>
    <hyperlink ref="H602" r:id="rId1201"/>
    <hyperlink ref="I602" r:id="rId1202"/>
    <hyperlink ref="H603" r:id="rId1203"/>
    <hyperlink ref="I603" r:id="rId1204"/>
    <hyperlink ref="H604" r:id="rId1205"/>
    <hyperlink ref="I604" r:id="rId1206"/>
    <hyperlink ref="H605" r:id="rId1207"/>
    <hyperlink ref="I605" r:id="rId1208"/>
    <hyperlink ref="H606" r:id="rId1209"/>
    <hyperlink ref="I606" r:id="rId1210"/>
    <hyperlink ref="H607" r:id="rId1211"/>
    <hyperlink ref="I607" r:id="rId1212"/>
    <hyperlink ref="H608" r:id="rId1213"/>
    <hyperlink ref="I608" r:id="rId1214"/>
    <hyperlink ref="H609" r:id="rId1215"/>
    <hyperlink ref="I609" r:id="rId1216"/>
    <hyperlink ref="H610" r:id="rId1217"/>
    <hyperlink ref="I610" r:id="rId1218"/>
    <hyperlink ref="H611" r:id="rId1219"/>
    <hyperlink ref="I611" r:id="rId1220"/>
    <hyperlink ref="H612" r:id="rId1221"/>
    <hyperlink ref="I612" r:id="rId1222"/>
    <hyperlink ref="H613" r:id="rId1223"/>
    <hyperlink ref="I613" r:id="rId1224"/>
    <hyperlink ref="H614" r:id="rId1225"/>
    <hyperlink ref="I614" r:id="rId1226"/>
    <hyperlink ref="H615" r:id="rId1227"/>
    <hyperlink ref="I615" r:id="rId1228"/>
    <hyperlink ref="H616" r:id="rId1229"/>
    <hyperlink ref="I616" r:id="rId1230"/>
    <hyperlink ref="H617" r:id="rId1231"/>
    <hyperlink ref="I617" r:id="rId1232"/>
    <hyperlink ref="H618" r:id="rId1233"/>
    <hyperlink ref="I618" r:id="rId1234"/>
    <hyperlink ref="H619" r:id="rId1235"/>
    <hyperlink ref="I619" r:id="rId1236"/>
    <hyperlink ref="H620" r:id="rId1237"/>
    <hyperlink ref="I620" r:id="rId1238"/>
    <hyperlink ref="H621" r:id="rId1239"/>
    <hyperlink ref="I621" r:id="rId1240"/>
    <hyperlink ref="H622" r:id="rId1241"/>
    <hyperlink ref="I622" r:id="rId1242"/>
    <hyperlink ref="H623" r:id="rId1243"/>
    <hyperlink ref="I623" r:id="rId1244"/>
    <hyperlink ref="H624" r:id="rId1245"/>
    <hyperlink ref="I624" r:id="rId1246"/>
    <hyperlink ref="H625" r:id="rId1247"/>
    <hyperlink ref="I625" r:id="rId1248"/>
    <hyperlink ref="H626" r:id="rId1249"/>
    <hyperlink ref="I626" r:id="rId1250"/>
    <hyperlink ref="H627" r:id="rId1251"/>
    <hyperlink ref="I627" r:id="rId1252"/>
    <hyperlink ref="H628" r:id="rId1253"/>
    <hyperlink ref="I628" r:id="rId1254"/>
    <hyperlink ref="H629" r:id="rId1255"/>
    <hyperlink ref="I629" r:id="rId1256"/>
    <hyperlink ref="H630" r:id="rId1257"/>
    <hyperlink ref="I630" r:id="rId1258"/>
    <hyperlink ref="H631" r:id="rId1259"/>
    <hyperlink ref="I631" r:id="rId1260"/>
    <hyperlink ref="H632" r:id="rId1261"/>
    <hyperlink ref="I632" r:id="rId1262"/>
    <hyperlink ref="H633" r:id="rId1263"/>
    <hyperlink ref="I633" r:id="rId1264"/>
    <hyperlink ref="H634" r:id="rId1265"/>
    <hyperlink ref="I634" r:id="rId1266"/>
    <hyperlink ref="H635" r:id="rId1267"/>
    <hyperlink ref="I635" r:id="rId1268"/>
    <hyperlink ref="H636" r:id="rId1269"/>
    <hyperlink ref="I636" r:id="rId1270"/>
    <hyperlink ref="H637" r:id="rId1271"/>
    <hyperlink ref="I637" r:id="rId1272"/>
    <hyperlink ref="H638" r:id="rId1273"/>
    <hyperlink ref="I638" r:id="rId1274"/>
    <hyperlink ref="H639" r:id="rId1275"/>
    <hyperlink ref="I639" r:id="rId1276"/>
    <hyperlink ref="H640" r:id="rId1277"/>
    <hyperlink ref="I640" r:id="rId1278"/>
    <hyperlink ref="H641" r:id="rId1279"/>
    <hyperlink ref="I641" r:id="rId1280"/>
    <hyperlink ref="H642" r:id="rId1281"/>
    <hyperlink ref="I642" r:id="rId1282"/>
    <hyperlink ref="H643" r:id="rId1283"/>
    <hyperlink ref="I643" r:id="rId1284"/>
    <hyperlink ref="H644" r:id="rId1285"/>
    <hyperlink ref="I644" r:id="rId1286"/>
    <hyperlink ref="H645" r:id="rId1287"/>
    <hyperlink ref="I645" r:id="rId1288"/>
    <hyperlink ref="H646" r:id="rId1289"/>
    <hyperlink ref="I646" r:id="rId1290"/>
    <hyperlink ref="H647" r:id="rId1291"/>
    <hyperlink ref="I647" r:id="rId1292"/>
    <hyperlink ref="H648" r:id="rId1293"/>
    <hyperlink ref="I648" r:id="rId1294"/>
    <hyperlink ref="H649" r:id="rId1295"/>
    <hyperlink ref="I649" r:id="rId1296"/>
    <hyperlink ref="H650" r:id="rId1297"/>
    <hyperlink ref="I650" r:id="rId1298"/>
    <hyperlink ref="H651" r:id="rId1299"/>
    <hyperlink ref="I651" r:id="rId1300"/>
    <hyperlink ref="H652" r:id="rId1301"/>
    <hyperlink ref="I652" r:id="rId1302"/>
    <hyperlink ref="H653" r:id="rId1303"/>
    <hyperlink ref="I653" r:id="rId1304"/>
    <hyperlink ref="H654" r:id="rId1305"/>
    <hyperlink ref="I654" r:id="rId1306"/>
    <hyperlink ref="H655" r:id="rId1307"/>
    <hyperlink ref="I655" r:id="rId1308"/>
    <hyperlink ref="H656" r:id="rId1309"/>
    <hyperlink ref="I656" r:id="rId1310"/>
    <hyperlink ref="H657" r:id="rId1311"/>
    <hyperlink ref="I657" r:id="rId1312"/>
    <hyperlink ref="H658" r:id="rId1313"/>
    <hyperlink ref="I658" r:id="rId1314"/>
    <hyperlink ref="H659" r:id="rId1315"/>
    <hyperlink ref="I659" r:id="rId1316"/>
    <hyperlink ref="H660" r:id="rId1317"/>
    <hyperlink ref="I660" r:id="rId1318"/>
    <hyperlink ref="H661" r:id="rId1319"/>
    <hyperlink ref="I661" r:id="rId1320"/>
    <hyperlink ref="H662" r:id="rId1321"/>
    <hyperlink ref="I662" r:id="rId1322"/>
    <hyperlink ref="H663" r:id="rId1323"/>
    <hyperlink ref="I663" r:id="rId1324"/>
    <hyperlink ref="H664" r:id="rId1325"/>
    <hyperlink ref="I664" r:id="rId1326"/>
    <hyperlink ref="H665" r:id="rId1327"/>
    <hyperlink ref="I665" r:id="rId1328"/>
    <hyperlink ref="H666" r:id="rId1329"/>
    <hyperlink ref="I666" r:id="rId1330"/>
    <hyperlink ref="H667" r:id="rId1331"/>
    <hyperlink ref="I667" r:id="rId1332"/>
    <hyperlink ref="H668" r:id="rId1333"/>
    <hyperlink ref="I668" r:id="rId1334"/>
    <hyperlink ref="H669" r:id="rId1335"/>
    <hyperlink ref="I669" r:id="rId1336"/>
    <hyperlink ref="H670" r:id="rId1337"/>
    <hyperlink ref="I670" r:id="rId1338"/>
    <hyperlink ref="H671" r:id="rId1339"/>
    <hyperlink ref="I671" r:id="rId1340"/>
    <hyperlink ref="H672" r:id="rId1341"/>
    <hyperlink ref="I672" r:id="rId1342"/>
    <hyperlink ref="H673" r:id="rId1343"/>
    <hyperlink ref="I673" r:id="rId1344"/>
    <hyperlink ref="H674" r:id="rId1345"/>
    <hyperlink ref="I674" r:id="rId1346"/>
    <hyperlink ref="H675" r:id="rId1347"/>
    <hyperlink ref="I675" r:id="rId1348"/>
    <hyperlink ref="H676" r:id="rId1349"/>
    <hyperlink ref="I676" r:id="rId1350"/>
    <hyperlink ref="H677" r:id="rId1351"/>
    <hyperlink ref="I677" r:id="rId1352"/>
    <hyperlink ref="H678" r:id="rId1353"/>
    <hyperlink ref="I678" r:id="rId1354"/>
    <hyperlink ref="H679" r:id="rId1355"/>
    <hyperlink ref="I679" r:id="rId135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Assumptions</vt:lpstr>
      <vt:lpstr>Scenarios</vt:lpstr>
      <vt:lpstr>Model</vt:lpstr>
      <vt:lpstr>Output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2026-09-28T16:51:00Z</dcterms:created>
  <dcterms:modified xsi:type="dcterms:W3CDTF">2026-09-28T16:51:00Z</dcterms:modified>
</cp:coreProperties>
</file>